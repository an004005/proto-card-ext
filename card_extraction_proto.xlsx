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규칙·조정요약" sheetId="1" state="visible" r:id="rId3"/>
    <sheet name="카드일람" sheetId="2" state="visible" r:id="rId4"/>
    <sheet name="모듈·임플란트" sheetId="3" state="visible" r:id="rId5"/>
    <sheet name="과부화시뮬" sheetId="4" state="visible" r:id="rId6"/>
  </sheets>
  <definedNames>
    <definedName function="false" hidden="false" name="단계보정" vbProcedure="false">카드일람!$B$24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<sst xmlns="http://schemas.openxmlformats.org/spreadsheetml/2006/main" count="348" uniqueCount="254">
  <si>
    <t xml:space="preserve">카드 익스트랙션 프로토타입 — 규칙 및 밸런스 조정 요약</t>
  </si>
  <si>
    <t xml:space="preserve">파란 글씨 = 조절 가능한 가정값. 노란 셀 = 이번에 조정된 항목.</t>
  </si>
  <si>
    <t xml:space="preserve">규칙</t>
  </si>
  <si>
    <t xml:space="preserve">내용</t>
  </si>
  <si>
    <t xml:space="preserve">비고</t>
  </si>
  <si>
    <t xml:space="preserve">캐릭터</t>
  </si>
  <si>
    <t xml:space="preserve">체력 70 / 최대 과부화 100 (100% 도달 시 사망)</t>
  </si>
  <si>
    <t xml:space="preserve">확정</t>
  </si>
  <si>
    <t xml:space="preserve">과부화 단계</t>
  </si>
  <si>
    <r>
      <rPr>
        <sz val="10"/>
        <color rgb="FF000000"/>
        <rFont val="Arial"/>
        <family val="0"/>
        <charset val="1"/>
      </rPr>
      <t xml:space="preserve">0~24 </t>
    </r>
    <r>
      <rPr>
        <sz val="10"/>
        <color rgb="FF000000"/>
        <rFont val="Noto Sans CJK SC"/>
        <family val="2"/>
      </rPr>
      <t xml:space="preserve">노멀</t>
    </r>
    <r>
      <rPr>
        <sz val="10"/>
        <color rgb="FF000000"/>
        <rFont val="Arial"/>
        <family val="0"/>
        <charset val="1"/>
      </rPr>
      <t xml:space="preserve">(0) / 25~49 </t>
    </r>
    <r>
      <rPr>
        <sz val="10"/>
        <color rgb="FF000000"/>
        <rFont val="Noto Sans CJK SC"/>
        <family val="2"/>
      </rPr>
      <t xml:space="preserve">최적</t>
    </r>
    <r>
      <rPr>
        <sz val="10"/>
        <color rgb="FF000000"/>
        <rFont val="Arial"/>
        <family val="0"/>
        <charset val="1"/>
      </rPr>
      <t xml:space="preserve">(1) / 50~74 </t>
    </r>
    <r>
      <rPr>
        <sz val="10"/>
        <color rgb="FF000000"/>
        <rFont val="Noto Sans CJK SC"/>
        <family val="2"/>
      </rPr>
      <t xml:space="preserve">과열</t>
    </r>
    <r>
      <rPr>
        <sz val="10"/>
        <color rgb="FF000000"/>
        <rFont val="Arial"/>
        <family val="0"/>
        <charset val="1"/>
      </rPr>
      <t xml:space="preserve">(2) / 75~99 </t>
    </r>
    <r>
      <rPr>
        <sz val="10"/>
        <color rgb="FF000000"/>
        <rFont val="Noto Sans CJK SC"/>
        <family val="2"/>
      </rPr>
      <t xml:space="preserve">멜트다운</t>
    </r>
    <r>
      <rPr>
        <sz val="10"/>
        <color rgb="FF000000"/>
        <rFont val="Arial"/>
        <family val="0"/>
        <charset val="1"/>
      </rPr>
      <t xml:space="preserve">(3) / 100 </t>
    </r>
    <r>
      <rPr>
        <sz val="10"/>
        <color rgb="FF000000"/>
        <rFont val="Noto Sans CJK SC"/>
        <family val="2"/>
      </rPr>
      <t xml:space="preserve">사망</t>
    </r>
  </si>
  <si>
    <t xml:space="preserve">과부화 포지션</t>
  </si>
  <si>
    <t xml:space="preserve">슬더슬의 카드 강화. 단계가 곧 덱 전체의 강화 상태</t>
  </si>
  <si>
    <t xml:space="preserve">기본 카드 공통 단계 공식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</si>
  <si>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단계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수치 </t>
    </r>
    <r>
      <rPr>
        <sz val="10"/>
        <color rgb="FF000000"/>
        <rFont val="Arial"/>
        <family val="0"/>
        <charset val="1"/>
      </rPr>
      <t xml:space="preserve">+25% / 2</t>
    </r>
    <r>
      <rPr>
        <sz val="10"/>
        <color rgb="FF000000"/>
        <rFont val="Noto Sans CJK SC"/>
        <family val="2"/>
      </rPr>
      <t xml:space="preserve">단계</t>
    </r>
    <r>
      <rPr>
        <sz val="10"/>
        <color rgb="FF000000"/>
        <rFont val="Arial"/>
        <family val="0"/>
        <charset val="1"/>
      </rPr>
      <t xml:space="preserve">: +25% </t>
    </r>
    <r>
      <rPr>
        <sz val="10"/>
        <color rgb="FF000000"/>
        <rFont val="Noto Sans CJK SC"/>
        <family val="2"/>
      </rPr>
      <t xml:space="preserve">유지 </t>
    </r>
    <r>
      <rPr>
        <sz val="10"/>
        <color rgb="FF000000"/>
        <rFont val="Arial"/>
        <family val="0"/>
        <charset val="1"/>
      </rPr>
      <t xml:space="preserve">/ 3</t>
    </r>
    <r>
      <rPr>
        <sz val="10"/>
        <color rgb="FF000000"/>
        <rFont val="Noto Sans CJK SC"/>
        <family val="2"/>
      </rPr>
      <t xml:space="preserve">단계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원래 수치로 회귀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반올림</t>
    </r>
    <r>
      <rPr>
        <sz val="10"/>
        <color rgb="FF000000"/>
        <rFont val="Arial"/>
        <family val="0"/>
        <charset val="1"/>
      </rPr>
      <t xml:space="preserve">)</t>
    </r>
  </si>
  <si>
    <t xml:space="preserve">조정: 전 카드로 확장</t>
  </si>
  <si>
    <t xml:space="preserve">특수 단계표</t>
  </si>
  <si>
    <t xml:space="preserve">모듈 카드만 개별 단계표 사용 (고급 장비의 특권)</t>
  </si>
  <si>
    <t xml:space="preserve">가변 vs 고정</t>
  </si>
  <si>
    <t xml:space="preserve">파워(지속물) = 가변(매턴 현재 단계 추종) / 일회성 카드 = 사용 시점 고정</t>
  </si>
  <si>
    <t xml:space="preserve">조정: 규칙 명문화</t>
  </si>
  <si>
    <t xml:space="preserve">장착 과부화(바닥)</t>
  </si>
  <si>
    <t xml:space="preserve">임플란트·장착물 합계가 과부화 바닥값. 안정제로 바닥 밑 감소 불가. 장착 상한 없음(멜트다운 세팅 허용)</t>
  </si>
  <si>
    <t xml:space="preserve">조정: 명문화</t>
  </si>
  <si>
    <t xml:space="preserve">전투 배출</t>
  </si>
  <si>
    <t xml:space="preserve">전투 승리 시 전투과부화(바닥 초과분)의 30% 배출</t>
  </si>
  <si>
    <t xml:space="preserve">조정: 신규 완충 레버, 시뮬로 검증</t>
  </si>
  <si>
    <t xml:space="preserve">총알</t>
  </si>
  <si>
    <t xml:space="preserve">인벤 칸 미점유 스택 자원. 시작 소지 8발</t>
  </si>
  <si>
    <t xml:space="preserve">조정: 신규 규칙</t>
  </si>
  <si>
    <t xml:space="preserve">인벤토리(과적)</t>
  </si>
  <si>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스택 없음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초과분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짐</t>
    </r>
    <r>
      <rPr>
        <sz val="10"/>
        <color rgb="FF000000"/>
        <rFont val="Arial"/>
        <family val="0"/>
        <charset val="1"/>
      </rPr>
      <t xml:space="preserve">' = 1</t>
    </r>
    <r>
      <rPr>
        <sz val="10"/>
        <color rgb="FF000000"/>
        <rFont val="Noto Sans CJK SC"/>
        <family val="2"/>
      </rPr>
      <t xml:space="preserve">코 소멸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영구 포기</t>
    </r>
    <r>
      <rPr>
        <sz val="10"/>
        <color rgb="FF000000"/>
        <rFont val="Arial"/>
        <family val="0"/>
        <charset val="1"/>
      </rPr>
      <t xml:space="preserve">). </t>
    </r>
    <r>
      <rPr>
        <sz val="10"/>
        <color rgb="FF000000"/>
        <rFont val="Noto Sans CJK SC"/>
        <family val="2"/>
      </rPr>
      <t xml:space="preserve">짐 소모품은 사용 가능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용어를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과적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으로 분리</t>
    </r>
  </si>
  <si>
    <t xml:space="preserve">조정: 용어 분리</t>
  </si>
  <si>
    <t xml:space="preserve">무게 저주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</si>
  <si>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코 소멸</t>
    </r>
    <r>
      <rPr>
        <sz val="10"/>
        <color rgb="FF000000"/>
        <rFont val="Arial"/>
        <family val="0"/>
        <charset val="1"/>
      </rPr>
      <t xml:space="preserve">(1</t>
    </r>
    <r>
      <rPr>
        <sz val="10"/>
        <color rgb="FF000000"/>
        <rFont val="Noto Sans CJK SC"/>
        <family val="2"/>
      </rPr>
      <t xml:space="preserve">회 값 치르면 끝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유지</t>
    </r>
  </si>
  <si>
    <t xml:space="preserve">결정 유지, 대안: 전투마다 리셋</t>
  </si>
  <si>
    <t xml:space="preserve">과부화 부여 공식</t>
  </si>
  <si>
    <t xml:space="preserve">일반 카드 0 / 강공격·특수 사용 +5~15 / 파워 사용 +10 / 장착물 = 바닥</t>
  </si>
  <si>
    <t xml:space="preserve">조정: 공식화</t>
  </si>
  <si>
    <t xml:space="preserve">전투 종료 기본 드랍</t>
  </si>
  <si>
    <t xml:space="preserve">총알 + 환금템 랜덤 + 장비·소모품 드랍 가능 (없을 수도 있음)</t>
  </si>
  <si>
    <t xml:space="preserve">전투 후 3택</t>
  </si>
  <si>
    <t xml:space="preserve">①추가 파밍(30% 기습) ②휴식(체력 10%·과부화 20 회복, 30% 기습) ③그냥 이동(안전)</t>
  </si>
  <si>
    <t xml:space="preserve">확정 — 자동 배출 규칙은 폐기</t>
  </si>
  <si>
    <t xml:space="preserve">무게 저주 (개정)</t>
  </si>
  <si>
    <t xml:space="preserve">소멸은 해당 전투 한정 — 다음 전투에 복귀 (상시 부담)</t>
  </si>
  <si>
    <t xml:space="preserve">조정</t>
  </si>
  <si>
    <t xml:space="preserve">장착 바닥 상한</t>
  </si>
  <si>
    <t xml:space="preserve">없음 — 멜트다운 세팅 허용</t>
  </si>
  <si>
    <t xml:space="preserve">카드 일람 — 수치는 0단계 기준, 1단계 수치 = 기본 공식(+25%) 자동 계산</t>
  </si>
  <si>
    <t xml:space="preserve">장비</t>
  </si>
  <si>
    <t xml:space="preserve">카드명</t>
  </si>
  <si>
    <t xml:space="preserve">매수</t>
  </si>
  <si>
    <t xml:space="preserve">타입</t>
  </si>
  <si>
    <t xml:space="preserve">코스트</t>
  </si>
  <si>
    <t xml:space="preserve">효과 (0단계 기준)</t>
  </si>
  <si>
    <t xml:space="preserve">피해</t>
  </si>
  <si>
    <t xml:space="preserve">방어</t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</si>
  <si>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단계 수치</t>
    </r>
  </si>
  <si>
    <t xml:space="preserve">과부화 부여</t>
  </si>
  <si>
    <t xml:space="preserve">조정 내역</t>
  </si>
  <si>
    <t xml:space="preserve">카타나</t>
  </si>
  <si>
    <t xml:space="preserve">베기</t>
  </si>
  <si>
    <t xml:space="preserve">공격</t>
  </si>
  <si>
    <t xml:space="preserve">-</t>
  </si>
  <si>
    <t xml:space="preserve">피해 6</t>
  </si>
  <si>
    <t xml:space="preserve">튕겨내기</t>
  </si>
  <si>
    <t xml:space="preserve">스킬</t>
  </si>
  <si>
    <t xml:space="preserve">방어 8, 공격받으면 3 반사</t>
  </si>
  <si>
    <t xml:space="preserve">라이플</t>
  </si>
  <si>
    <t xml:space="preserve">조준사격</t>
  </si>
  <si>
    <t xml:space="preserve">피해 8</t>
  </si>
  <si>
    <t xml:space="preserve">강공격: 과부화 +5 부여</t>
  </si>
  <si>
    <t xml:space="preserve">제압사격</t>
  </si>
  <si>
    <t xml:space="preserve">광역 피해 10</t>
  </si>
  <si>
    <t xml:space="preserve">강공격: 과부화 +10 부여</t>
  </si>
  <si>
    <t xml:space="preserve">개머리판 타격</t>
  </si>
  <si>
    <t xml:space="preserve">피해 5 (총알 무소모 예비 수단)</t>
  </si>
  <si>
    <t xml:space="preserve">단검</t>
  </si>
  <si>
    <t xml:space="preserve">약한 베기</t>
  </si>
  <si>
    <t xml:space="preserve">피해 4</t>
  </si>
  <si>
    <t xml:space="preserve">찌르기</t>
  </si>
  <si>
    <t xml:space="preserve">피해 9, 자신에게 취약 1턴</t>
  </si>
  <si>
    <t xml:space="preserve">권총</t>
  </si>
  <si>
    <t xml:space="preserve">단발사격</t>
  </si>
  <si>
    <t xml:space="preserve">총알 경제로 견제(시작 8발)</t>
  </si>
  <si>
    <t xml:space="preserve">중갑상의</t>
  </si>
  <si>
    <t xml:space="preserve">회피</t>
  </si>
  <si>
    <t xml:space="preserve">방어 6</t>
  </si>
  <si>
    <t xml:space="preserve">막기</t>
  </si>
  <si>
    <t xml:space="preserve">방어 9</t>
  </si>
  <si>
    <t xml:space="preserve">저주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</si>
  <si>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코 소멸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효과 없음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</si>
  <si>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회성 유지</t>
    </r>
  </si>
  <si>
    <t xml:space="preserve">경갑상의</t>
  </si>
  <si>
    <t xml:space="preserve">흘려내기</t>
  </si>
  <si>
    <t xml:space="preserve">방어 8, 1장 드로우</t>
  </si>
  <si>
    <t xml:space="preserve">전술하의</t>
  </si>
  <si>
    <t xml:space="preserve">기만</t>
  </si>
  <si>
    <t xml:space="preserve">피해 3, 약화 1턴 부여</t>
  </si>
  <si>
    <t xml:space="preserve">질주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</si>
  <si>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장 버리고 방어 </t>
    </r>
    <r>
      <rPr>
        <sz val="10"/>
        <color rgb="FF000000"/>
        <rFont val="Arial"/>
        <family val="0"/>
        <charset val="1"/>
      </rPr>
      <t xml:space="preserve">9</t>
    </r>
  </si>
  <si>
    <t xml:space="preserve">중장하의</t>
  </si>
  <si>
    <t xml:space="preserve">지지</t>
  </si>
  <si>
    <t xml:space="preserve">방어 16</t>
  </si>
  <si>
    <t xml:space="preserve">고비용 방어: 과부화 +5</t>
  </si>
  <si>
    <t xml:space="preserve">밀쳐내기</t>
  </si>
  <si>
    <t xml:space="preserve">방어 5, 피해 5</t>
  </si>
  <si>
    <t xml:space="preserve">단계 보정 계수 (1·2단계 공통)</t>
  </si>
  <si>
    <t xml:space="preserve">주: 3단계는 0단계 수치로 회귀. 저주·드로우 등 비수치 효과는 단계 영향 없음.</t>
  </si>
  <si>
    <t xml:space="preserve">모듈 (개별 단계표 사용) — 파워 = 가변(매턴 현재 단계 추종), 일회성 = 사용 시점 고정</t>
  </si>
  <si>
    <t xml:space="preserve">모듈</t>
  </si>
  <si>
    <t xml:space="preserve">카드</t>
  </si>
  <si>
    <t xml:space="preserve">과부화</t>
  </si>
  <si>
    <r>
      <rPr>
        <b val="true"/>
        <sz val="10"/>
        <color rgb="FFFFFFFF"/>
        <rFont val="Arial"/>
        <family val="0"/>
        <charset val="1"/>
      </rPr>
      <t xml:space="preserve">0</t>
    </r>
    <r>
      <rPr>
        <b val="true"/>
        <sz val="10"/>
        <color rgb="FFFFFFFF"/>
        <rFont val="Noto Sans CJK SC"/>
        <family val="2"/>
      </rPr>
      <t xml:space="preserve">단계</t>
    </r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</si>
  <si>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단계</t>
    </r>
  </si>
  <si>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Noto Sans CJK SC"/>
        <family val="2"/>
      </rPr>
      <t xml:space="preserve">단계</t>
    </r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</si>
  <si>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단계</t>
    </r>
  </si>
  <si>
    <t xml:space="preserve">신경 강화</t>
  </si>
  <si>
    <t xml:space="preserve">신경 강화(파워)</t>
  </si>
  <si>
    <t xml:space="preserve">파워·가변</t>
  </si>
  <si>
    <t xml:space="preserve">방어력 +1</t>
  </si>
  <si>
    <t xml:space="preserve">방어력 +2</t>
  </si>
  <si>
    <t xml:space="preserve">방어력 +1, 스킬 코스트 +1</t>
  </si>
  <si>
    <t xml:space="preserve">신체 강화</t>
  </si>
  <si>
    <t xml:space="preserve">신체 강화(파워)</t>
  </si>
  <si>
    <t xml:space="preserve">근접공격 +1</t>
  </si>
  <si>
    <t xml:space="preserve">근접공격 +2</t>
  </si>
  <si>
    <t xml:space="preserve">근접공격 +1, 근접 코스트 +1</t>
  </si>
  <si>
    <t xml:space="preserve">돌진 베기</t>
  </si>
  <si>
    <t xml:space="preserve">공격·고정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</si>
  <si>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코 피해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방어</t>
    </r>
    <r>
      <rPr>
        <sz val="10"/>
        <color rgb="FF000000"/>
        <rFont val="Arial"/>
        <family val="0"/>
        <charset val="1"/>
      </rPr>
      <t xml:space="preserve">10</t>
    </r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</si>
  <si>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코 피해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방어</t>
    </r>
    <r>
      <rPr>
        <sz val="10"/>
        <color rgb="FF000000"/>
        <rFont val="Arial"/>
        <family val="0"/>
        <charset val="1"/>
      </rPr>
      <t xml:space="preserve">15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</si>
  <si>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코 피해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방어</t>
    </r>
    <r>
      <rPr>
        <sz val="10"/>
        <color rgb="FF000000"/>
        <rFont val="Arial"/>
        <family val="0"/>
        <charset val="1"/>
      </rPr>
      <t xml:space="preserve">15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</si>
  <si>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코 피해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방어</t>
    </r>
    <r>
      <rPr>
        <sz val="10"/>
        <color rgb="FF000000"/>
        <rFont val="Arial"/>
        <family val="0"/>
        <charset val="1"/>
      </rPr>
      <t xml:space="preserve">10</t>
    </r>
  </si>
  <si>
    <t xml:space="preserve">강공격: 과부화 +10</t>
  </si>
  <si>
    <t xml:space="preserve">역장 강화</t>
  </si>
  <si>
    <t xml:space="preserve">역장 방어(파워)</t>
  </si>
  <si>
    <t xml:space="preserve">파워·고정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</si>
  <si>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코 갑옷 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</si>
  <si>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코 갑옷 </t>
    </r>
    <r>
      <rPr>
        <sz val="10"/>
        <color rgb="FF000000"/>
        <rFont val="Arial"/>
        <family val="0"/>
        <charset val="1"/>
      </rPr>
      <t xml:space="preserve">6</t>
    </r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</si>
  <si>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코 갑옷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</si>
  <si>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코 갑옷 </t>
    </r>
    <r>
      <rPr>
        <sz val="10"/>
        <color rgb="FF000000"/>
        <rFont val="Arial"/>
        <family val="0"/>
        <charset val="1"/>
      </rPr>
      <t xml:space="preserve">4</t>
    </r>
  </si>
  <si>
    <t xml:space="preserve">역장 방출</t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</si>
  <si>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코 광역</t>
    </r>
    <r>
      <rPr>
        <sz val="10"/>
        <color rgb="FF000000"/>
        <rFont val="Arial"/>
        <family val="0"/>
        <charset val="1"/>
      </rPr>
      <t xml:space="preserve">8, </t>
    </r>
    <r>
      <rPr>
        <sz val="10"/>
        <color rgb="FF000000"/>
        <rFont val="Noto Sans CJK SC"/>
        <family val="2"/>
      </rPr>
      <t xml:space="preserve">취약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약화</t>
    </r>
    <r>
      <rPr>
        <sz val="10"/>
        <color rgb="FF000000"/>
        <rFont val="Arial"/>
        <family val="0"/>
        <charset val="1"/>
      </rPr>
      <t xml:space="preserve">1, </t>
    </r>
    <r>
      <rPr>
        <sz val="10"/>
        <color rgb="FF000000"/>
        <rFont val="Noto Sans CJK SC"/>
        <family val="2"/>
      </rPr>
      <t xml:space="preserve">소멸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</si>
  <si>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코 광역</t>
    </r>
    <r>
      <rPr>
        <sz val="10"/>
        <color rgb="FF000000"/>
        <rFont val="Arial"/>
        <family val="0"/>
        <charset val="1"/>
      </rPr>
      <t xml:space="preserve">10, </t>
    </r>
    <r>
      <rPr>
        <sz val="10"/>
        <color rgb="FF000000"/>
        <rFont val="Noto Sans CJK SC"/>
        <family val="2"/>
      </rPr>
      <t xml:space="preserve">취약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약화</t>
    </r>
    <r>
      <rPr>
        <sz val="10"/>
        <color rgb="FF000000"/>
        <rFont val="Arial"/>
        <family val="0"/>
        <charset val="1"/>
      </rPr>
      <t xml:space="preserve">2, </t>
    </r>
    <r>
      <rPr>
        <sz val="10"/>
        <color rgb="FF000000"/>
        <rFont val="Noto Sans CJK SC"/>
        <family val="2"/>
      </rPr>
      <t xml:space="preserve">소멸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</si>
  <si>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코 광역</t>
    </r>
    <r>
      <rPr>
        <sz val="10"/>
        <color rgb="FF000000"/>
        <rFont val="Arial"/>
        <family val="0"/>
        <charset val="1"/>
      </rPr>
      <t xml:space="preserve">10, </t>
    </r>
    <r>
      <rPr>
        <sz val="10"/>
        <color rgb="FF000000"/>
        <rFont val="Noto Sans CJK SC"/>
        <family val="2"/>
      </rPr>
      <t xml:space="preserve">취약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약화</t>
    </r>
    <r>
      <rPr>
        <sz val="10"/>
        <color rgb="FF000000"/>
        <rFont val="Arial"/>
        <family val="0"/>
        <charset val="1"/>
      </rPr>
      <t xml:space="preserve">2, </t>
    </r>
    <r>
      <rPr>
        <sz val="10"/>
        <color rgb="FF000000"/>
        <rFont val="Noto Sans CJK SC"/>
        <family val="2"/>
      </rPr>
      <t xml:space="preserve">소멸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</si>
  <si>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코 광역</t>
    </r>
    <r>
      <rPr>
        <sz val="10"/>
        <color rgb="FF000000"/>
        <rFont val="Arial"/>
        <family val="0"/>
        <charset val="1"/>
      </rPr>
      <t xml:space="preserve">8, </t>
    </r>
    <r>
      <rPr>
        <sz val="10"/>
        <color rgb="FF000000"/>
        <rFont val="Noto Sans CJK SC"/>
        <family val="2"/>
      </rPr>
      <t xml:space="preserve">취약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약화</t>
    </r>
    <r>
      <rPr>
        <sz val="10"/>
        <color rgb="FF000000"/>
        <rFont val="Arial"/>
        <family val="0"/>
        <charset val="1"/>
      </rPr>
      <t xml:space="preserve">1, </t>
    </r>
    <r>
      <rPr>
        <sz val="10"/>
        <color rgb="FF000000"/>
        <rFont val="Noto Sans CJK SC"/>
        <family val="2"/>
      </rPr>
      <t xml:space="preserve">소멸</t>
    </r>
  </si>
  <si>
    <t xml:space="preserve">전 단계 소멸로 통일(전투당 1회), 과부화 +15</t>
  </si>
  <si>
    <t xml:space="preserve">공간 지각</t>
  </si>
  <si>
    <t xml:space="preserve">공간 지각(파워)</t>
  </si>
  <si>
    <t xml:space="preserve">원거리공격 +1</t>
  </si>
  <si>
    <t xml:space="preserve">원거리공격 +2</t>
  </si>
  <si>
    <t xml:space="preserve">원거리공격 +3, 원거리 코스트 +1</t>
  </si>
  <si>
    <t xml:space="preserve">원거리공격 +1, 원거리 코스트 +1</t>
  </si>
  <si>
    <t xml:space="preserve">투시</t>
  </si>
  <si>
    <t xml:space="preserve">스킬·고정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</si>
  <si>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코 다음 원거리 </t>
    </r>
    <r>
      <rPr>
        <sz val="10"/>
        <color rgb="FF000000"/>
        <rFont val="Arial"/>
        <family val="0"/>
        <charset val="1"/>
      </rPr>
      <t xml:space="preserve">+3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</si>
  <si>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코 다음 원거리 </t>
    </r>
    <r>
      <rPr>
        <sz val="10"/>
        <color rgb="FF000000"/>
        <rFont val="Arial"/>
        <family val="0"/>
        <charset val="1"/>
      </rPr>
      <t xml:space="preserve">+6, </t>
    </r>
    <r>
      <rPr>
        <sz val="10"/>
        <color rgb="FF000000"/>
        <rFont val="Noto Sans CJK SC"/>
        <family val="2"/>
      </rPr>
      <t xml:space="preserve">방어 무시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</si>
  <si>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코 다음 원거리 </t>
    </r>
    <r>
      <rPr>
        <sz val="10"/>
        <color rgb="FF000000"/>
        <rFont val="Arial"/>
        <family val="0"/>
        <charset val="1"/>
      </rPr>
      <t xml:space="preserve">+6</t>
    </r>
  </si>
  <si>
    <t xml:space="preserve">과부화 +10</t>
  </si>
  <si>
    <t xml:space="preserve">전자기 간섭</t>
  </si>
  <si>
    <t xml:space="preserve">해킹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</si>
  <si>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코 기계 대상 스턴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소멸</t>
    </r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</si>
  <si>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공통 없음 — 단계 무관</t>
    </r>
    <r>
      <rPr>
        <sz val="10"/>
        <color rgb="FF000000"/>
        <rFont val="Arial"/>
        <family val="0"/>
        <charset val="1"/>
      </rPr>
      <t xml:space="preserve">)</t>
    </r>
  </si>
  <si>
    <t xml:space="preserve">과부화 +15</t>
  </si>
  <si>
    <t xml:space="preserve">임플란트 (장착 = 과부화 바닥 점유)</t>
  </si>
  <si>
    <t xml:space="preserve">번호</t>
  </si>
  <si>
    <t xml:space="preserve">효과</t>
  </si>
  <si>
    <t xml:space="preserve">바닥 과부화</t>
  </si>
  <si>
    <t xml:space="preserve">①</t>
  </si>
  <si>
    <t xml:space="preserve">최대 체력 +7</t>
  </si>
  <si>
    <t xml:space="preserve">②</t>
  </si>
  <si>
    <t xml:space="preserve">전투 시작 시 모든 적 취약1·약화1</t>
  </si>
  <si>
    <r>
      <rPr>
        <sz val="10"/>
        <color rgb="FF000000"/>
        <rFont val="Arial"/>
        <family val="0"/>
        <charset val="1"/>
      </rPr>
      <t xml:space="preserve">10 → 20 </t>
    </r>
    <r>
      <rPr>
        <sz val="10"/>
        <color rgb="FF000000"/>
        <rFont val="Noto Sans CJK SC"/>
        <family val="2"/>
      </rPr>
      <t xml:space="preserve">상향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실질 딜</t>
    </r>
    <r>
      <rPr>
        <sz val="10"/>
        <color rgb="FF000000"/>
        <rFont val="Arial"/>
        <family val="0"/>
        <charset val="1"/>
      </rPr>
      <t xml:space="preserve">+50%·</t>
    </r>
    <r>
      <rPr>
        <sz val="10"/>
        <color rgb="FF000000"/>
        <rFont val="Noto Sans CJK SC"/>
        <family val="2"/>
      </rPr>
      <t xml:space="preserve">피해</t>
    </r>
    <r>
      <rPr>
        <sz val="10"/>
        <color rgb="FF000000"/>
        <rFont val="Arial"/>
        <family val="0"/>
        <charset val="1"/>
      </rPr>
      <t xml:space="preserve">-25%</t>
    </r>
    <r>
      <rPr>
        <sz val="10"/>
        <color rgb="FF000000"/>
        <rFont val="Noto Sans CJK SC"/>
        <family val="2"/>
      </rPr>
      <t xml:space="preserve">급 효과</t>
    </r>
    <r>
      <rPr>
        <sz val="10"/>
        <color rgb="FF000000"/>
        <rFont val="Arial"/>
        <family val="0"/>
        <charset val="1"/>
      </rPr>
      <t xml:space="preserve">)</t>
    </r>
  </si>
  <si>
    <t xml:space="preserve">③</t>
  </si>
  <si>
    <t xml:space="preserve">인벤토리 +5칸</t>
  </si>
  <si>
    <t xml:space="preserve">④</t>
  </si>
  <si>
    <t xml:space="preserve">매턴 드로우 +1</t>
  </si>
  <si>
    <t xml:space="preserve">⑤</t>
  </si>
  <si>
    <t xml:space="preserve">획득 과부화 50% 차감</t>
  </si>
  <si>
    <t xml:space="preserve">바닥을 사서 천장을 낮추는 트레이드 — 유지</t>
  </si>
  <si>
    <t xml:space="preserve">⑥</t>
  </si>
  <si>
    <t xml:space="preserve">매턴 시작 광역 3 피해</t>
  </si>
  <si>
    <t xml:space="preserve">소모품 (주머니 3칸, 덱 미포함, 카드 코스트로 사용)</t>
  </si>
  <si>
    <t xml:space="preserve">소모품</t>
  </si>
  <si>
    <t xml:space="preserve">붕대</t>
  </si>
  <si>
    <t xml:space="preserve">체력 20% 회복</t>
  </si>
  <si>
    <t xml:space="preserve">과부화 안정제</t>
  </si>
  <si>
    <t xml:space="preserve">과부화 20 감소 (바닥 밑 불가)</t>
  </si>
  <si>
    <t xml:space="preserve">수급량 = 난이도 레버, 시뮬 참조</t>
  </si>
  <si>
    <t xml:space="preserve">수류탄</t>
  </si>
  <si>
    <t xml:space="preserve">수리 부품</t>
  </si>
  <si>
    <t xml:space="preserve">내구도 10 회복</t>
  </si>
  <si>
    <t xml:space="preserve">프로토타입 미사용(내구도 제외)</t>
  </si>
  <si>
    <t xml:space="preserve">섬광탄</t>
  </si>
  <si>
    <t xml:space="preserve">광역 취약·약화 1턴</t>
  </si>
  <si>
    <t xml:space="preserve">상태이상</t>
  </si>
  <si>
    <t xml:space="preserve">상태</t>
  </si>
  <si>
    <t xml:space="preserve">취약</t>
  </si>
  <si>
    <t xml:space="preserve">받는 피해 1.5배</t>
  </si>
  <si>
    <t xml:space="preserve">약화</t>
  </si>
  <si>
    <t xml:space="preserve">주는 피해 0.75배</t>
  </si>
  <si>
    <t xml:space="preserve">갑옷</t>
  </si>
  <si>
    <t xml:space="preserve">턴 시작 시 수치만큼 방어도 획득, 매턴 1 감소</t>
  </si>
  <si>
    <t xml:space="preserve">스턴</t>
  </si>
  <si>
    <t xml:space="preserve">행동 1턴 지연 (다음 턴에 원래 행동 수행)</t>
  </si>
  <si>
    <t xml:space="preserve">근접/원거리 공격력, 방어력</t>
  </si>
  <si>
    <t xml:space="preserve">해당 수치 증가 버프</t>
  </si>
  <si>
    <t xml:space="preserve">과부화 수급 시뮬 — 전투 후 3택(파밍/휴식/이동) 반영. 파란 셀 = 조절값, '선택' 열도 직접 수정 가능</t>
  </si>
  <si>
    <t xml:space="preserve">바닥 과부화 (장착 합계)</t>
  </si>
  <si>
    <t xml:space="preserve">안정제·휴식으로 바닥 밑 불가</t>
  </si>
  <si>
    <t xml:space="preserve">일반전 평균 획득</t>
  </si>
  <si>
    <t xml:space="preserve">정예전 평균 획득</t>
  </si>
  <si>
    <t xml:space="preserve">보스전 평균 획득</t>
  </si>
  <si>
    <t xml:space="preserve">파밍 기습 확률</t>
  </si>
  <si>
    <t xml:space="preserve">기습 = 일반전 1회 추가(기대값 반영)</t>
  </si>
  <si>
    <t xml:space="preserve">휴식 과부화 감소</t>
  </si>
  <si>
    <t xml:space="preserve">튜닝 확정: 20→30</t>
  </si>
  <si>
    <t xml:space="preserve">휴식 체력 회복</t>
  </si>
  <si>
    <t xml:space="preserve">최대체력 70의 10%</t>
  </si>
  <si>
    <t xml:space="preserve">안정제 사용 임계 (선택 처리 후 초과 시)</t>
  </si>
  <si>
    <t xml:space="preserve">안정제 감소량</t>
  </si>
  <si>
    <t xml:space="preserve">휴식 기습 확률</t>
  </si>
  <si>
    <r>
      <rPr>
        <sz val="10"/>
        <color rgb="FF808080"/>
        <rFont val="Noto Sans CJK SC"/>
        <family val="2"/>
      </rPr>
      <t xml:space="preserve">튜닝 확정</t>
    </r>
    <r>
      <rPr>
        <sz val="10"/>
        <color rgb="FF808080"/>
        <rFont val="Arial"/>
        <family val="0"/>
        <charset val="1"/>
      </rPr>
      <t xml:space="preserve">: </t>
    </r>
    <r>
      <rPr>
        <sz val="10"/>
        <color rgb="FF808080"/>
        <rFont val="Noto Sans CJK SC"/>
        <family val="2"/>
      </rPr>
      <t xml:space="preserve">파밍과 차등</t>
    </r>
  </si>
  <si>
    <t xml:space="preserve">층</t>
  </si>
  <si>
    <t xml:space="preserve">전투#</t>
  </si>
  <si>
    <t xml:space="preserve">유형</t>
  </si>
  <si>
    <t xml:space="preserve">전투 획득</t>
  </si>
  <si>
    <t xml:space="preserve">전투 시작</t>
  </si>
  <si>
    <t xml:space="preserve">전투 중 최고치</t>
  </si>
  <si>
    <t xml:space="preserve">전투 후 선택</t>
  </si>
  <si>
    <t xml:space="preserve">선택 효과 (기대값)</t>
  </si>
  <si>
    <t xml:space="preserve">선택 처리 후</t>
  </si>
  <si>
    <t xml:space="preserve">안정제 사용</t>
  </si>
  <si>
    <t xml:space="preserve">종료</t>
  </si>
  <si>
    <t xml:space="preserve">최고 단계 / 해석</t>
  </si>
  <si>
    <t xml:space="preserve">일반</t>
  </si>
  <si>
    <t xml:space="preserve">파밍</t>
  </si>
  <si>
    <t xml:space="preserve">휴식</t>
  </si>
  <si>
    <t xml:space="preserve">정예</t>
  </si>
  <si>
    <t xml:space="preserve">이동</t>
  </si>
  <si>
    <t xml:space="preserve">보스</t>
  </si>
  <si>
    <t xml:space="preserve">요약</t>
  </si>
  <si>
    <t xml:space="preserve">필요 안정제 총량</t>
  </si>
  <si>
    <t xml:space="preserve">런 중 최고 과부화</t>
  </si>
  <si>
    <t xml:space="preserve">멜트다운 이상 전투 수</t>
  </si>
  <si>
    <t xml:space="preserve">최적(1단계) 이상 체류 전투 수</t>
  </si>
  <si>
    <t xml:space="preserve">휴식 횟수 (체력 회복량)</t>
  </si>
  <si>
    <t xml:space="preserve">파밍 횟수 (놓친 파밍 = 이동+휴식 수)</t>
  </si>
  <si>
    <t xml:space="preserve">사망 여부</t>
  </si>
  <si>
    <t xml:space="preserve">선택 효과는 기대값(EV) 모델: 기습 30% × 일반전 획득. 실제 게임에선 발생/미발생으로 갈림.</t>
  </si>
  <si>
    <t xml:space="preserve">휴식 실질 기대 감소 = 30 - 0.15×12 = 28.2 (전투 약 2.3개분). '이동'만 완전 안전.</t>
  </si>
  <si>
    <r>
      <rPr>
        <sz val="10"/>
        <color rgb="FF808080"/>
        <rFont val="Arial"/>
        <family val="0"/>
        <charset val="1"/>
      </rPr>
      <t xml:space="preserve">'</t>
    </r>
    <r>
      <rPr>
        <sz val="10"/>
        <color rgb="FF808080"/>
        <rFont val="Noto Sans CJK SC"/>
        <family val="2"/>
      </rPr>
      <t xml:space="preserve">전투 후 선택</t>
    </r>
    <r>
      <rPr>
        <sz val="10"/>
        <color rgb="FF808080"/>
        <rFont val="Arial"/>
        <family val="0"/>
        <charset val="1"/>
      </rPr>
      <t xml:space="preserve">' </t>
    </r>
    <r>
      <rPr>
        <sz val="10"/>
        <color rgb="FF808080"/>
        <rFont val="Noto Sans CJK SC"/>
        <family val="2"/>
      </rPr>
      <t xml:space="preserve">열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파란</t>
    </r>
    <r>
      <rPr>
        <sz val="10"/>
        <color rgb="FF808080"/>
        <rFont val="Arial"/>
        <family val="0"/>
        <charset val="1"/>
      </rPr>
      <t xml:space="preserve">)</t>
    </r>
    <r>
      <rPr>
        <sz val="10"/>
        <color rgb="FF808080"/>
        <rFont val="Noto Sans CJK SC"/>
        <family val="2"/>
      </rPr>
      <t xml:space="preserve">을 파밍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휴식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이동으로 바꿔가며 성향별 곡선 비교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기본값 </t>
    </r>
    <r>
      <rPr>
        <sz val="10"/>
        <color rgb="FF808080"/>
        <rFont val="Arial"/>
        <family val="0"/>
        <charset val="1"/>
      </rPr>
      <t xml:space="preserve">= </t>
    </r>
    <r>
      <rPr>
        <sz val="10"/>
        <color rgb="FF808080"/>
        <rFont val="Noto Sans CJK SC"/>
        <family val="2"/>
      </rPr>
      <t xml:space="preserve">과열 관리형 플레이</t>
    </r>
    <r>
      <rPr>
        <sz val="10"/>
        <color rgb="FF808080"/>
        <rFont val="Arial"/>
        <family val="0"/>
        <charset val="1"/>
      </rPr>
      <t xml:space="preserve">.</t>
    </r>
  </si>
  <si>
    <t xml:space="preserve">튜닝 목표: 안정제 0~2개, 최적 이상 체류 10전투 이상, 멜트다운 0~2회, 사망 없음.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</si>
</sst>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"/>
    <numFmt numFmtId="167" formatCode="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Noto Sans CJK SC"/>
      <family val="2"/>
      <charset val="1"/>
    </font>
    <font>
      <sz val="10"/>
      <color rgb="FF80808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sz val="10"/>
      <color rgb="FF000000"/>
      <name val="Noto Sans CJK SC"/>
      <family val="2"/>
      <charset val="1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2"/>
      <color rgb="FF000000"/>
      <name val="Noto Sans CJK SC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Noto Sans CJK SC"/>
      <family val="2"/>
      <charset val="1"/>
    </font>
    <font>
      <b val="true"/>
      <sz val="10"/>
      <name val="Noto Sans CJK SC"/>
      <family val="2"/>
    </font>
    <font>
      <sz val="10"/>
      <color rgb="FF808080"/>
      <name val="Noto Sans CJK SC"/>
      <family val="2"/>
    </font>
    <font>
      <sz val="10"/>
      <color rgb="FF808080"/>
      <name val="Arial"/>
      <family val="0"/>
      <charset val="1"/>
    </font>
    <font>
      <sz val="10"/>
      <color rgb="FF0000FF"/>
      <name val="Noto Sans CJK SC"/>
      <family val="2"/>
      <charset val="1"/>
    </font>
    <font>
      <b val="true"/>
      <sz val="11"/>
      <color rgb="FF000000"/>
      <name val="Noto Sans CJK SC"/>
      <family val="2"/>
      <charset val="1"/>
    </font>
    <font>
      <b val="true"/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60"/>
    <col collapsed="false" customWidth="true" hidden="false" outlineLevel="0" max="3" min="3" style="1" width="24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</row>
    <row r="5" customFormat="false" ht="15" hidden="false" customHeight="true" outlineLevel="0" collapsed="false">
      <c r="A5" s="5" t="s">
        <v>5</v>
      </c>
      <c r="B5" s="5" t="s">
        <v>6</v>
      </c>
      <c r="C5" s="5" t="s">
        <v>7</v>
      </c>
    </row>
    <row r="6" customFormat="false" ht="15" hidden="false" customHeight="true" outlineLevel="0" collapsed="false">
      <c r="A6" s="5" t="s">
        <v>8</v>
      </c>
      <c r="B6" s="6" t="s">
        <v>9</v>
      </c>
      <c r="C6" s="5" t="s">
        <v>7</v>
      </c>
    </row>
    <row r="7" customFormat="false" ht="15" hidden="false" customHeight="true" outlineLevel="0" collapsed="false">
      <c r="A7" s="5" t="s">
        <v>10</v>
      </c>
      <c r="B7" s="5" t="s">
        <v>11</v>
      </c>
      <c r="C7" s="5" t="s">
        <v>7</v>
      </c>
    </row>
    <row r="8" customFormat="false" ht="15" hidden="false" customHeight="true" outlineLevel="0" collapsed="false">
      <c r="A8" s="7" t="s">
        <v>12</v>
      </c>
      <c r="B8" s="8" t="s">
        <v>13</v>
      </c>
      <c r="C8" s="7" t="s">
        <v>14</v>
      </c>
    </row>
    <row r="9" customFormat="false" ht="15" hidden="false" customHeight="true" outlineLevel="0" collapsed="false">
      <c r="A9" s="5" t="s">
        <v>15</v>
      </c>
      <c r="B9" s="5" t="s">
        <v>16</v>
      </c>
      <c r="C9" s="5" t="s">
        <v>7</v>
      </c>
    </row>
    <row r="10" customFormat="false" ht="15" hidden="false" customHeight="true" outlineLevel="0" collapsed="false">
      <c r="A10" s="7" t="s">
        <v>17</v>
      </c>
      <c r="B10" s="7" t="s">
        <v>18</v>
      </c>
      <c r="C10" s="7" t="s">
        <v>19</v>
      </c>
    </row>
    <row r="11" customFormat="false" ht="29.25" hidden="false" customHeight="true" outlineLevel="0" collapsed="false">
      <c r="A11" s="7" t="s">
        <v>20</v>
      </c>
      <c r="B11" s="7" t="s">
        <v>21</v>
      </c>
      <c r="C11" s="7" t="s">
        <v>22</v>
      </c>
    </row>
    <row r="12" customFormat="false" ht="29.25" hidden="false" customHeight="true" outlineLevel="0" collapsed="false">
      <c r="A12" s="7" t="s">
        <v>23</v>
      </c>
      <c r="B12" s="7" t="s">
        <v>24</v>
      </c>
      <c r="C12" s="7" t="s">
        <v>25</v>
      </c>
    </row>
    <row r="13" customFormat="false" ht="15" hidden="false" customHeight="true" outlineLevel="0" collapsed="false">
      <c r="A13" s="7" t="s">
        <v>26</v>
      </c>
      <c r="B13" s="7" t="s">
        <v>27</v>
      </c>
      <c r="C13" s="7" t="s">
        <v>28</v>
      </c>
    </row>
    <row r="14" customFormat="false" ht="29.25" hidden="false" customHeight="true" outlineLevel="0" collapsed="false">
      <c r="A14" s="7" t="s">
        <v>29</v>
      </c>
      <c r="B14" s="8" t="s">
        <v>30</v>
      </c>
      <c r="C14" s="7" t="s">
        <v>31</v>
      </c>
    </row>
    <row r="15" customFormat="false" ht="15" hidden="false" customHeight="true" outlineLevel="0" collapsed="false">
      <c r="A15" s="5" t="s">
        <v>32</v>
      </c>
      <c r="B15" s="6" t="s">
        <v>33</v>
      </c>
      <c r="C15" s="5" t="s">
        <v>34</v>
      </c>
    </row>
    <row r="16" customFormat="false" ht="15" hidden="false" customHeight="true" outlineLevel="0" collapsed="false">
      <c r="A16" s="7" t="s">
        <v>35</v>
      </c>
      <c r="B16" s="7" t="s">
        <v>36</v>
      </c>
      <c r="C16" s="7" t="s">
        <v>37</v>
      </c>
    </row>
    <row r="17" customFormat="false" ht="15" hidden="false" customHeight="true" outlineLevel="0" collapsed="false">
      <c r="A17" s="7" t="s">
        <v>38</v>
      </c>
      <c r="B17" s="7" t="s">
        <v>39</v>
      </c>
      <c r="C17" s="7" t="s">
        <v>7</v>
      </c>
    </row>
    <row r="18" customFormat="false" ht="29.25" hidden="false" customHeight="true" outlineLevel="0" collapsed="false">
      <c r="A18" s="7" t="s">
        <v>40</v>
      </c>
      <c r="B18" s="7" t="s">
        <v>41</v>
      </c>
      <c r="C18" s="7" t="s">
        <v>42</v>
      </c>
    </row>
    <row r="19" customFormat="false" ht="15" hidden="false" customHeight="true" outlineLevel="0" collapsed="false">
      <c r="A19" s="7" t="s">
        <v>43</v>
      </c>
      <c r="B19" s="7" t="s">
        <v>44</v>
      </c>
      <c r="C19" s="7" t="s">
        <v>45</v>
      </c>
    </row>
    <row r="20" customFormat="false" ht="15" hidden="false" customHeight="true" outlineLevel="0" collapsed="false">
      <c r="A20" s="7" t="s">
        <v>46</v>
      </c>
      <c r="B20" s="7" t="s">
        <v>47</v>
      </c>
      <c r="C20" s="7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6"/>
    <col collapsed="false" customWidth="true" hidden="false" outlineLevel="0" max="4" min="4" style="1" width="8"/>
    <col collapsed="false" customWidth="true" hidden="false" outlineLevel="0" max="5" min="5" style="1" width="6"/>
    <col collapsed="false" customWidth="true" hidden="false" outlineLevel="0" max="6" min="6" style="1" width="7"/>
    <col collapsed="false" customWidth="true" hidden="false" outlineLevel="0" max="7" min="7" style="1" width="40"/>
    <col collapsed="false" customWidth="true" hidden="false" outlineLevel="0" max="10" min="8" style="1" width="8"/>
    <col collapsed="false" customWidth="true" hidden="false" outlineLevel="0" max="11" min="11" style="1" width="10"/>
    <col collapsed="false" customWidth="true" hidden="false" outlineLevel="0" max="12" min="12" style="1" width="34"/>
  </cols>
  <sheetData>
    <row r="1" customFormat="false" ht="18.75" hidden="false" customHeight="true" outlineLevel="0" collapsed="false">
      <c r="A1" s="9" t="s">
        <v>48</v>
      </c>
    </row>
    <row r="3" customFormat="false" ht="29.25" hidden="false" customHeight="true" outlineLevel="0" collapsed="false">
      <c r="A3" s="4" t="s">
        <v>49</v>
      </c>
      <c r="B3" s="4" t="s">
        <v>50</v>
      </c>
      <c r="C3" s="4" t="s">
        <v>51</v>
      </c>
      <c r="D3" s="4" t="s">
        <v>52</v>
      </c>
      <c r="E3" s="4" t="s">
        <v>53</v>
      </c>
      <c r="F3" s="4" t="s">
        <v>26</v>
      </c>
      <c r="G3" s="4" t="s">
        <v>54</v>
      </c>
      <c r="H3" s="4" t="s">
        <v>55</v>
      </c>
      <c r="I3" s="4" t="s">
        <v>56</v>
      </c>
      <c r="J3" s="10" t="s">
        <v>57</v>
      </c>
      <c r="K3" s="4" t="s">
        <v>58</v>
      </c>
      <c r="L3" s="4" t="s">
        <v>59</v>
      </c>
    </row>
    <row r="4" customFormat="false" ht="15" hidden="false" customHeight="true" outlineLevel="0" collapsed="false">
      <c r="A4" s="5" t="s">
        <v>60</v>
      </c>
      <c r="B4" s="5" t="s">
        <v>61</v>
      </c>
      <c r="C4" s="5" t="n">
        <v>2</v>
      </c>
      <c r="D4" s="5" t="s">
        <v>62</v>
      </c>
      <c r="E4" s="5" t="n">
        <v>1</v>
      </c>
      <c r="F4" s="6" t="s">
        <v>63</v>
      </c>
      <c r="G4" s="5" t="s">
        <v>64</v>
      </c>
      <c r="H4" s="11" t="n">
        <v>6</v>
      </c>
      <c r="I4" s="11" t="n">
        <v>0</v>
      </c>
      <c r="J4" s="12" t="str">
        <f aca="false">IF(H4&gt;0,ROUND(H4*(1+단계보정),0),"")&amp;IF(AND(H4&gt;0,I4&gt;0)," / ","")&amp;IF(I4&gt;0,ROUND(I4*(1+단계보정),0),"")</f>
        <v>8</v>
      </c>
      <c r="K4" s="11" t="n">
        <v>0</v>
      </c>
      <c r="L4" s="5"/>
    </row>
    <row r="5" customFormat="false" ht="15" hidden="false" customHeight="true" outlineLevel="0" collapsed="false">
      <c r="A5" s="5" t="s">
        <v>60</v>
      </c>
      <c r="B5" s="5" t="s">
        <v>65</v>
      </c>
      <c r="C5" s="5" t="n">
        <v>1</v>
      </c>
      <c r="D5" s="5" t="s">
        <v>66</v>
      </c>
      <c r="E5" s="5" t="n">
        <v>1</v>
      </c>
      <c r="F5" s="6" t="s">
        <v>63</v>
      </c>
      <c r="G5" s="5" t="s">
        <v>67</v>
      </c>
      <c r="H5" s="11" t="n">
        <v>0</v>
      </c>
      <c r="I5" s="11" t="n">
        <v>8</v>
      </c>
      <c r="J5" s="12" t="str">
        <f aca="false">IF(H5&gt;0,ROUND(H5*(1+단계보정),0),"")&amp;IF(AND(H5&gt;0,I5&gt;0)," / ","")&amp;IF(I5&gt;0,ROUND(I5*(1+단계보정),0),"")</f>
        <v>10</v>
      </c>
      <c r="K5" s="11" t="n">
        <v>0</v>
      </c>
      <c r="L5" s="5"/>
    </row>
    <row r="6" customFormat="false" ht="15" hidden="false" customHeight="true" outlineLevel="0" collapsed="false">
      <c r="A6" s="7" t="s">
        <v>68</v>
      </c>
      <c r="B6" s="7" t="s">
        <v>69</v>
      </c>
      <c r="C6" s="7" t="n">
        <v>1</v>
      </c>
      <c r="D6" s="7" t="s">
        <v>62</v>
      </c>
      <c r="E6" s="7" t="n">
        <v>0</v>
      </c>
      <c r="F6" s="7" t="n">
        <v>1</v>
      </c>
      <c r="G6" s="7" t="s">
        <v>70</v>
      </c>
      <c r="H6" s="13" t="n">
        <v>8</v>
      </c>
      <c r="I6" s="13" t="n">
        <v>0</v>
      </c>
      <c r="J6" s="14" t="str">
        <f aca="false">IF(H6&gt;0,ROUND(H6*(1+단계보정),0),"")&amp;IF(AND(H6&gt;0,I6&gt;0)," / ","")&amp;IF(I6&gt;0,ROUND(I6*(1+단계보정),0),"")</f>
        <v>10</v>
      </c>
      <c r="K6" s="13" t="n">
        <v>5</v>
      </c>
      <c r="L6" s="7" t="s">
        <v>71</v>
      </c>
    </row>
    <row r="7" customFormat="false" ht="15" hidden="false" customHeight="true" outlineLevel="0" collapsed="false">
      <c r="A7" s="7" t="s">
        <v>68</v>
      </c>
      <c r="B7" s="7" t="s">
        <v>72</v>
      </c>
      <c r="C7" s="7" t="n">
        <v>1</v>
      </c>
      <c r="D7" s="7" t="s">
        <v>62</v>
      </c>
      <c r="E7" s="7" t="n">
        <v>1</v>
      </c>
      <c r="F7" s="7" t="n">
        <v>3</v>
      </c>
      <c r="G7" s="7" t="s">
        <v>73</v>
      </c>
      <c r="H7" s="13" t="n">
        <v>10</v>
      </c>
      <c r="I7" s="13" t="n">
        <v>0</v>
      </c>
      <c r="J7" s="14" t="str">
        <f aca="false">IF(H7&gt;0,ROUND(H7*(1+단계보정),0),"")&amp;IF(AND(H7&gt;0,I7&gt;0)," / ","")&amp;IF(I7&gt;0,ROUND(I7*(1+단계보정),0),"")</f>
        <v>13</v>
      </c>
      <c r="K7" s="13" t="n">
        <v>10</v>
      </c>
      <c r="L7" s="7" t="s">
        <v>74</v>
      </c>
    </row>
    <row r="8" customFormat="false" ht="15" hidden="false" customHeight="true" outlineLevel="0" collapsed="false">
      <c r="A8" s="5" t="s">
        <v>68</v>
      </c>
      <c r="B8" s="5" t="s">
        <v>75</v>
      </c>
      <c r="C8" s="5" t="n">
        <v>1</v>
      </c>
      <c r="D8" s="5" t="s">
        <v>62</v>
      </c>
      <c r="E8" s="5" t="n">
        <v>1</v>
      </c>
      <c r="F8" s="6" t="s">
        <v>63</v>
      </c>
      <c r="G8" s="5" t="s">
        <v>76</v>
      </c>
      <c r="H8" s="11" t="n">
        <v>5</v>
      </c>
      <c r="I8" s="11" t="n">
        <v>0</v>
      </c>
      <c r="J8" s="12" t="str">
        <f aca="false">IF(H8&gt;0,ROUND(H8*(1+단계보정),0),"")&amp;IF(AND(H8&gt;0,I8&gt;0)," / ","")&amp;IF(I8&gt;0,ROUND(I8*(1+단계보정),0),"")</f>
        <v>6</v>
      </c>
      <c r="K8" s="11" t="n">
        <v>0</v>
      </c>
      <c r="L8" s="5"/>
    </row>
    <row r="9" customFormat="false" ht="15" hidden="false" customHeight="true" outlineLevel="0" collapsed="false">
      <c r="A9" s="5" t="s">
        <v>77</v>
      </c>
      <c r="B9" s="5" t="s">
        <v>78</v>
      </c>
      <c r="C9" s="5" t="n">
        <v>1</v>
      </c>
      <c r="D9" s="5" t="s">
        <v>62</v>
      </c>
      <c r="E9" s="5" t="n">
        <v>1</v>
      </c>
      <c r="F9" s="6" t="s">
        <v>63</v>
      </c>
      <c r="G9" s="5" t="s">
        <v>79</v>
      </c>
      <c r="H9" s="11" t="n">
        <v>4</v>
      </c>
      <c r="I9" s="11" t="n">
        <v>0</v>
      </c>
      <c r="J9" s="12" t="str">
        <f aca="false">IF(H9&gt;0,ROUND(H9*(1+단계보정),0),"")&amp;IF(AND(H9&gt;0,I9&gt;0)," / ","")&amp;IF(I9&gt;0,ROUND(I9*(1+단계보정),0),"")</f>
        <v>5</v>
      </c>
      <c r="K9" s="11" t="n">
        <v>0</v>
      </c>
      <c r="L9" s="5"/>
    </row>
    <row r="10" customFormat="false" ht="15" hidden="false" customHeight="true" outlineLevel="0" collapsed="false">
      <c r="A10" s="7" t="s">
        <v>77</v>
      </c>
      <c r="B10" s="7" t="s">
        <v>80</v>
      </c>
      <c r="C10" s="7" t="n">
        <v>1</v>
      </c>
      <c r="D10" s="7" t="s">
        <v>62</v>
      </c>
      <c r="E10" s="7" t="n">
        <v>1</v>
      </c>
      <c r="F10" s="8" t="s">
        <v>63</v>
      </c>
      <c r="G10" s="7" t="s">
        <v>81</v>
      </c>
      <c r="H10" s="13" t="n">
        <v>9</v>
      </c>
      <c r="I10" s="13" t="n">
        <v>0</v>
      </c>
      <c r="J10" s="14" t="str">
        <f aca="false">IF(H10&gt;0,ROUND(H10*(1+단계보정),0),"")&amp;IF(AND(H10&gt;0,I10&gt;0)," / ","")&amp;IF(I10&gt;0,ROUND(I10*(1+단계보정),0),"")</f>
        <v>11</v>
      </c>
      <c r="K10" s="13" t="n">
        <v>5</v>
      </c>
      <c r="L10" s="7" t="s">
        <v>71</v>
      </c>
    </row>
    <row r="11" customFormat="false" ht="15" hidden="false" customHeight="true" outlineLevel="0" collapsed="false">
      <c r="A11" s="7" t="s">
        <v>82</v>
      </c>
      <c r="B11" s="7" t="s">
        <v>83</v>
      </c>
      <c r="C11" s="7" t="n">
        <v>2</v>
      </c>
      <c r="D11" s="7" t="s">
        <v>62</v>
      </c>
      <c r="E11" s="7" t="n">
        <v>0</v>
      </c>
      <c r="F11" s="7" t="n">
        <v>1</v>
      </c>
      <c r="G11" s="7" t="s">
        <v>64</v>
      </c>
      <c r="H11" s="13" t="n">
        <v>6</v>
      </c>
      <c r="I11" s="13" t="n">
        <v>0</v>
      </c>
      <c r="J11" s="14" t="str">
        <f aca="false">IF(H11&gt;0,ROUND(H11*(1+단계보정),0),"")&amp;IF(AND(H11&gt;0,I11&gt;0)," / ","")&amp;IF(I11&gt;0,ROUND(I11*(1+단계보정),0),"")</f>
        <v>8</v>
      </c>
      <c r="K11" s="13" t="n">
        <v>0</v>
      </c>
      <c r="L11" s="7" t="s">
        <v>84</v>
      </c>
    </row>
    <row r="12" customFormat="false" ht="15" hidden="false" customHeight="true" outlineLevel="0" collapsed="false">
      <c r="A12" s="5" t="s">
        <v>85</v>
      </c>
      <c r="B12" s="5" t="s">
        <v>86</v>
      </c>
      <c r="C12" s="5" t="n">
        <v>1</v>
      </c>
      <c r="D12" s="5" t="s">
        <v>66</v>
      </c>
      <c r="E12" s="5" t="n">
        <v>1</v>
      </c>
      <c r="F12" s="6" t="s">
        <v>63</v>
      </c>
      <c r="G12" s="5" t="s">
        <v>87</v>
      </c>
      <c r="H12" s="11" t="n">
        <v>0</v>
      </c>
      <c r="I12" s="11" t="n">
        <v>6</v>
      </c>
      <c r="J12" s="12" t="str">
        <f aca="false">IF(H12&gt;0,ROUND(H12*(1+단계보정),0),"")&amp;IF(AND(H12&gt;0,I12&gt;0)," / ","")&amp;IF(I12&gt;0,ROUND(I12*(1+단계보정),0),"")</f>
        <v>8</v>
      </c>
      <c r="K12" s="11" t="n">
        <v>0</v>
      </c>
      <c r="L12" s="5"/>
    </row>
    <row r="13" customFormat="false" ht="15" hidden="false" customHeight="true" outlineLevel="0" collapsed="false">
      <c r="A13" s="5" t="s">
        <v>85</v>
      </c>
      <c r="B13" s="5" t="s">
        <v>88</v>
      </c>
      <c r="C13" s="5" t="n">
        <v>2</v>
      </c>
      <c r="D13" s="5" t="s">
        <v>66</v>
      </c>
      <c r="E13" s="5" t="n">
        <v>1</v>
      </c>
      <c r="F13" s="6" t="s">
        <v>63</v>
      </c>
      <c r="G13" s="5" t="s">
        <v>89</v>
      </c>
      <c r="H13" s="11" t="n">
        <v>0</v>
      </c>
      <c r="I13" s="11" t="n">
        <v>9</v>
      </c>
      <c r="J13" s="12" t="str">
        <f aca="false">IF(H13&gt;0,ROUND(H13*(1+단계보정),0),"")&amp;IF(AND(H13&gt;0,I13&gt;0)," / ","")&amp;IF(I13&gt;0,ROUND(I13*(1+단계보정),0),"")</f>
        <v>11</v>
      </c>
      <c r="K13" s="11" t="n">
        <v>0</v>
      </c>
      <c r="L13" s="5"/>
    </row>
    <row r="14" customFormat="false" ht="15" hidden="false" customHeight="true" outlineLevel="0" collapsed="false">
      <c r="A14" s="7" t="s">
        <v>85</v>
      </c>
      <c r="B14" s="7" t="s">
        <v>32</v>
      </c>
      <c r="C14" s="7" t="n">
        <v>1</v>
      </c>
      <c r="D14" s="7" t="s">
        <v>90</v>
      </c>
      <c r="E14" s="7" t="n">
        <v>1</v>
      </c>
      <c r="F14" s="8" t="s">
        <v>63</v>
      </c>
      <c r="G14" s="8" t="s">
        <v>91</v>
      </c>
      <c r="H14" s="13" t="n">
        <v>0</v>
      </c>
      <c r="I14" s="13" t="n">
        <v>0</v>
      </c>
      <c r="J14" s="14" t="str">
        <f aca="false">IF(H14&gt;0,ROUND(H14*(1+단계보정),0),"")&amp;IF(AND(H14&gt;0,I14&gt;0)," / ","")&amp;IF(I14&gt;0,ROUND(I14*(1+단계보정),0),"")</f>
        <v/>
      </c>
      <c r="K14" s="13" t="n">
        <v>0</v>
      </c>
      <c r="L14" s="8" t="s">
        <v>92</v>
      </c>
    </row>
    <row r="15" customFormat="false" ht="15" hidden="false" customHeight="true" outlineLevel="0" collapsed="false">
      <c r="A15" s="5" t="s">
        <v>93</v>
      </c>
      <c r="B15" s="5" t="s">
        <v>86</v>
      </c>
      <c r="C15" s="5" t="n">
        <v>2</v>
      </c>
      <c r="D15" s="5" t="s">
        <v>66</v>
      </c>
      <c r="E15" s="5" t="n">
        <v>1</v>
      </c>
      <c r="F15" s="6" t="s">
        <v>63</v>
      </c>
      <c r="G15" s="5" t="s">
        <v>87</v>
      </c>
      <c r="H15" s="11" t="n">
        <v>0</v>
      </c>
      <c r="I15" s="11" t="n">
        <v>6</v>
      </c>
      <c r="J15" s="12" t="str">
        <f aca="false">IF(H15&gt;0,ROUND(H15*(1+단계보정),0),"")&amp;IF(AND(H15&gt;0,I15&gt;0)," / ","")&amp;IF(I15&gt;0,ROUND(I15*(1+단계보정),0),"")</f>
        <v>8</v>
      </c>
      <c r="K15" s="11" t="n">
        <v>0</v>
      </c>
      <c r="L15" s="5"/>
    </row>
    <row r="16" customFormat="false" ht="15" hidden="false" customHeight="true" outlineLevel="0" collapsed="false">
      <c r="A16" s="5" t="s">
        <v>93</v>
      </c>
      <c r="B16" s="5" t="s">
        <v>94</v>
      </c>
      <c r="C16" s="5" t="n">
        <v>1</v>
      </c>
      <c r="D16" s="5" t="s">
        <v>66</v>
      </c>
      <c r="E16" s="5" t="n">
        <v>1</v>
      </c>
      <c r="F16" s="6" t="s">
        <v>63</v>
      </c>
      <c r="G16" s="5" t="s">
        <v>95</v>
      </c>
      <c r="H16" s="11" t="n">
        <v>0</v>
      </c>
      <c r="I16" s="11" t="n">
        <v>8</v>
      </c>
      <c r="J16" s="12" t="str">
        <f aca="false">IF(H16&gt;0,ROUND(H16*(1+단계보정),0),"")&amp;IF(AND(H16&gt;0,I16&gt;0)," / ","")&amp;IF(I16&gt;0,ROUND(I16*(1+단계보정),0),"")</f>
        <v>10</v>
      </c>
      <c r="K16" s="11" t="n">
        <v>0</v>
      </c>
      <c r="L16" s="5"/>
    </row>
    <row r="17" customFormat="false" ht="15" hidden="false" customHeight="true" outlineLevel="0" collapsed="false">
      <c r="A17" s="5" t="s">
        <v>96</v>
      </c>
      <c r="B17" s="5" t="s">
        <v>97</v>
      </c>
      <c r="C17" s="5" t="n">
        <v>1</v>
      </c>
      <c r="D17" s="5" t="s">
        <v>62</v>
      </c>
      <c r="E17" s="5" t="n">
        <v>0</v>
      </c>
      <c r="F17" s="6" t="s">
        <v>63</v>
      </c>
      <c r="G17" s="5" t="s">
        <v>98</v>
      </c>
      <c r="H17" s="11" t="n">
        <v>3</v>
      </c>
      <c r="I17" s="11" t="n">
        <v>0</v>
      </c>
      <c r="J17" s="12" t="str">
        <f aca="false">IF(H17&gt;0,ROUND(H17*(1+단계보정),0),"")&amp;IF(AND(H17&gt;0,I17&gt;0)," / ","")&amp;IF(I17&gt;0,ROUND(I17*(1+단계보정),0),"")</f>
        <v>4</v>
      </c>
      <c r="K17" s="11" t="n">
        <v>0</v>
      </c>
      <c r="L17" s="5"/>
    </row>
    <row r="18" customFormat="false" ht="15" hidden="false" customHeight="true" outlineLevel="0" collapsed="false">
      <c r="A18" s="5" t="s">
        <v>96</v>
      </c>
      <c r="B18" s="5" t="s">
        <v>99</v>
      </c>
      <c r="C18" s="5" t="n">
        <v>1</v>
      </c>
      <c r="D18" s="5" t="s">
        <v>66</v>
      </c>
      <c r="E18" s="5" t="n">
        <v>1</v>
      </c>
      <c r="F18" s="6" t="s">
        <v>63</v>
      </c>
      <c r="G18" s="6" t="s">
        <v>100</v>
      </c>
      <c r="H18" s="11" t="n">
        <v>0</v>
      </c>
      <c r="I18" s="11" t="n">
        <v>9</v>
      </c>
      <c r="J18" s="12" t="str">
        <f aca="false">IF(H18&gt;0,ROUND(H18*(1+단계보정),0),"")&amp;IF(AND(H18&gt;0,I18&gt;0)," / ","")&amp;IF(I18&gt;0,ROUND(I18*(1+단계보정),0),"")</f>
        <v>11</v>
      </c>
      <c r="K18" s="11" t="n">
        <v>0</v>
      </c>
      <c r="L18" s="5"/>
    </row>
    <row r="19" customFormat="false" ht="15" hidden="false" customHeight="true" outlineLevel="0" collapsed="false">
      <c r="A19" s="5" t="s">
        <v>96</v>
      </c>
      <c r="B19" s="5" t="s">
        <v>86</v>
      </c>
      <c r="C19" s="5" t="n">
        <v>1</v>
      </c>
      <c r="D19" s="5" t="s">
        <v>66</v>
      </c>
      <c r="E19" s="5" t="n">
        <v>1</v>
      </c>
      <c r="F19" s="6" t="s">
        <v>63</v>
      </c>
      <c r="G19" s="5" t="s">
        <v>87</v>
      </c>
      <c r="H19" s="11" t="n">
        <v>0</v>
      </c>
      <c r="I19" s="11" t="n">
        <v>6</v>
      </c>
      <c r="J19" s="12" t="str">
        <f aca="false">IF(H19&gt;0,ROUND(H19*(1+단계보정),0),"")&amp;IF(AND(H19&gt;0,I19&gt;0)," / ","")&amp;IF(I19&gt;0,ROUND(I19*(1+단계보정),0),"")</f>
        <v>8</v>
      </c>
      <c r="K19" s="11" t="n">
        <v>0</v>
      </c>
      <c r="L19" s="5"/>
    </row>
    <row r="20" customFormat="false" ht="15" hidden="false" customHeight="true" outlineLevel="0" collapsed="false">
      <c r="A20" s="7" t="s">
        <v>101</v>
      </c>
      <c r="B20" s="7" t="s">
        <v>102</v>
      </c>
      <c r="C20" s="7" t="n">
        <v>1</v>
      </c>
      <c r="D20" s="7" t="s">
        <v>66</v>
      </c>
      <c r="E20" s="7" t="n">
        <v>2</v>
      </c>
      <c r="F20" s="8" t="s">
        <v>63</v>
      </c>
      <c r="G20" s="7" t="s">
        <v>103</v>
      </c>
      <c r="H20" s="13" t="n">
        <v>0</v>
      </c>
      <c r="I20" s="13" t="n">
        <v>16</v>
      </c>
      <c r="J20" s="14" t="str">
        <f aca="false">IF(H20&gt;0,ROUND(H20*(1+단계보정),0),"")&amp;IF(AND(H20&gt;0,I20&gt;0)," / ","")&amp;IF(I20&gt;0,ROUND(I20*(1+단계보정),0),"")</f>
        <v>20</v>
      </c>
      <c r="K20" s="13" t="n">
        <v>5</v>
      </c>
      <c r="L20" s="7" t="s">
        <v>104</v>
      </c>
    </row>
    <row r="21" customFormat="false" ht="15" hidden="false" customHeight="true" outlineLevel="0" collapsed="false">
      <c r="A21" s="5" t="s">
        <v>101</v>
      </c>
      <c r="B21" s="5" t="s">
        <v>105</v>
      </c>
      <c r="C21" s="5" t="n">
        <v>1</v>
      </c>
      <c r="D21" s="5" t="s">
        <v>62</v>
      </c>
      <c r="E21" s="5" t="n">
        <v>1</v>
      </c>
      <c r="F21" s="6" t="s">
        <v>63</v>
      </c>
      <c r="G21" s="5" t="s">
        <v>106</v>
      </c>
      <c r="H21" s="11" t="n">
        <v>5</v>
      </c>
      <c r="I21" s="11" t="n">
        <v>5</v>
      </c>
      <c r="J21" s="12" t="str">
        <f aca="false">IF(H21&gt;0,ROUND(H21*(1+단계보정),0),"")&amp;IF(AND(H21&gt;0,I21&gt;0)," / ","")&amp;IF(I21&gt;0,ROUND(I21*(1+단계보정),0),"")</f>
        <v>6 / 6</v>
      </c>
      <c r="K21" s="11" t="n">
        <v>0</v>
      </c>
      <c r="L21" s="5"/>
    </row>
    <row r="22" customFormat="false" ht="15" hidden="false" customHeight="true" outlineLevel="0" collapsed="false">
      <c r="A22" s="5" t="s">
        <v>101</v>
      </c>
      <c r="B22" s="5" t="s">
        <v>32</v>
      </c>
      <c r="C22" s="5" t="n">
        <v>1</v>
      </c>
      <c r="D22" s="5" t="s">
        <v>90</v>
      </c>
      <c r="E22" s="5" t="n">
        <v>1</v>
      </c>
      <c r="F22" s="6" t="s">
        <v>63</v>
      </c>
      <c r="G22" s="6" t="s">
        <v>91</v>
      </c>
      <c r="H22" s="11" t="n">
        <v>0</v>
      </c>
      <c r="I22" s="11" t="n">
        <v>0</v>
      </c>
      <c r="J22" s="12" t="str">
        <f aca="false">IF(H22&gt;0,ROUND(H22*(1+단계보정),0),"")&amp;IF(AND(H22&gt;0,I22&gt;0)," / ","")&amp;IF(I22&gt;0,ROUND(I22*(1+단계보정),0),"")</f>
        <v/>
      </c>
      <c r="K22" s="11" t="n">
        <v>0</v>
      </c>
      <c r="L22" s="5"/>
    </row>
    <row r="24" customFormat="false" ht="15" hidden="false" customHeight="true" outlineLevel="0" collapsed="false">
      <c r="A24" s="15" t="s">
        <v>107</v>
      </c>
      <c r="B24" s="16" t="n">
        <v>0.25</v>
      </c>
    </row>
    <row r="25" customFormat="false" ht="15" hidden="false" customHeight="true" outlineLevel="0" collapsed="false">
      <c r="A25" s="3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4" min="3" style="1" width="8"/>
    <col collapsed="false" customWidth="true" hidden="false" outlineLevel="0" max="8" min="5" style="1" width="30"/>
    <col collapsed="false" customWidth="true" hidden="false" outlineLevel="0" max="9" min="9" style="1" width="26"/>
  </cols>
  <sheetData>
    <row r="1" customFormat="false" ht="18.75" hidden="false" customHeight="true" outlineLevel="0" collapsed="false">
      <c r="A1" s="9" t="s">
        <v>109</v>
      </c>
    </row>
    <row r="3" customFormat="false" ht="15" hidden="false" customHeight="true" outlineLevel="0" collapsed="false">
      <c r="A3" s="4" t="s">
        <v>110</v>
      </c>
      <c r="B3" s="4" t="s">
        <v>111</v>
      </c>
      <c r="C3" s="4" t="s">
        <v>52</v>
      </c>
      <c r="D3" s="4" t="s">
        <v>112</v>
      </c>
      <c r="E3" s="10" t="s">
        <v>113</v>
      </c>
      <c r="F3" s="10" t="s">
        <v>114</v>
      </c>
      <c r="G3" s="10" t="s">
        <v>115</v>
      </c>
      <c r="H3" s="10" t="s">
        <v>116</v>
      </c>
      <c r="I3" s="4" t="s">
        <v>59</v>
      </c>
    </row>
    <row r="4" customFormat="false" ht="15" hidden="false" customHeight="true" outlineLevel="0" collapsed="false">
      <c r="A4" s="5" t="s">
        <v>117</v>
      </c>
      <c r="B4" s="5" t="s">
        <v>118</v>
      </c>
      <c r="C4" s="5" t="s">
        <v>119</v>
      </c>
      <c r="D4" s="5" t="n">
        <v>10</v>
      </c>
      <c r="E4" s="5" t="s">
        <v>120</v>
      </c>
      <c r="F4" s="5" t="s">
        <v>121</v>
      </c>
      <c r="G4" s="5" t="s">
        <v>121</v>
      </c>
      <c r="H4" s="5" t="s">
        <v>122</v>
      </c>
      <c r="I4" s="5"/>
    </row>
    <row r="5" customFormat="false" ht="15" hidden="false" customHeight="true" outlineLevel="0" collapsed="false">
      <c r="A5" s="5" t="s">
        <v>123</v>
      </c>
      <c r="B5" s="5" t="s">
        <v>124</v>
      </c>
      <c r="C5" s="5" t="s">
        <v>119</v>
      </c>
      <c r="D5" s="5" t="n">
        <v>10</v>
      </c>
      <c r="E5" s="5" t="s">
        <v>125</v>
      </c>
      <c r="F5" s="5" t="s">
        <v>126</v>
      </c>
      <c r="G5" s="5" t="s">
        <v>126</v>
      </c>
      <c r="H5" s="5" t="s">
        <v>127</v>
      </c>
      <c r="I5" s="5"/>
    </row>
    <row r="6" customFormat="false" ht="15" hidden="false" customHeight="true" outlineLevel="0" collapsed="false">
      <c r="A6" s="7" t="s">
        <v>123</v>
      </c>
      <c r="B6" s="7" t="s">
        <v>128</v>
      </c>
      <c r="C6" s="7" t="s">
        <v>129</v>
      </c>
      <c r="D6" s="7" t="n">
        <v>10</v>
      </c>
      <c r="E6" s="8" t="s">
        <v>130</v>
      </c>
      <c r="F6" s="8" t="s">
        <v>131</v>
      </c>
      <c r="G6" s="8" t="s">
        <v>132</v>
      </c>
      <c r="H6" s="8" t="s">
        <v>133</v>
      </c>
      <c r="I6" s="7" t="s">
        <v>134</v>
      </c>
    </row>
    <row r="7" customFormat="false" ht="15" hidden="false" customHeight="true" outlineLevel="0" collapsed="false">
      <c r="A7" s="5" t="s">
        <v>135</v>
      </c>
      <c r="B7" s="5" t="s">
        <v>136</v>
      </c>
      <c r="C7" s="5" t="s">
        <v>137</v>
      </c>
      <c r="D7" s="5" t="n">
        <v>10</v>
      </c>
      <c r="E7" s="6" t="s">
        <v>138</v>
      </c>
      <c r="F7" s="6" t="s">
        <v>139</v>
      </c>
      <c r="G7" s="6" t="s">
        <v>140</v>
      </c>
      <c r="H7" s="6" t="s">
        <v>141</v>
      </c>
      <c r="I7" s="5"/>
    </row>
    <row r="8" customFormat="false" ht="29.25" hidden="false" customHeight="true" outlineLevel="0" collapsed="false">
      <c r="A8" s="7" t="s">
        <v>135</v>
      </c>
      <c r="B8" s="7" t="s">
        <v>142</v>
      </c>
      <c r="C8" s="7" t="s">
        <v>129</v>
      </c>
      <c r="D8" s="7" t="n">
        <v>15</v>
      </c>
      <c r="E8" s="8" t="s">
        <v>143</v>
      </c>
      <c r="F8" s="8" t="s">
        <v>144</v>
      </c>
      <c r="G8" s="8" t="s">
        <v>145</v>
      </c>
      <c r="H8" s="8" t="s">
        <v>146</v>
      </c>
      <c r="I8" s="7" t="s">
        <v>147</v>
      </c>
    </row>
    <row r="9" customFormat="false" ht="15" hidden="false" customHeight="true" outlineLevel="0" collapsed="false">
      <c r="A9" s="5" t="s">
        <v>148</v>
      </c>
      <c r="B9" s="5" t="s">
        <v>149</v>
      </c>
      <c r="C9" s="5" t="s">
        <v>119</v>
      </c>
      <c r="D9" s="5" t="n">
        <v>10</v>
      </c>
      <c r="E9" s="5" t="s">
        <v>150</v>
      </c>
      <c r="F9" s="5" t="s">
        <v>151</v>
      </c>
      <c r="G9" s="5" t="s">
        <v>152</v>
      </c>
      <c r="H9" s="5" t="s">
        <v>153</v>
      </c>
      <c r="I9" s="5"/>
    </row>
    <row r="10" customFormat="false" ht="15" hidden="false" customHeight="true" outlineLevel="0" collapsed="false">
      <c r="A10" s="7" t="s">
        <v>148</v>
      </c>
      <c r="B10" s="7" t="s">
        <v>154</v>
      </c>
      <c r="C10" s="7" t="s">
        <v>155</v>
      </c>
      <c r="D10" s="7" t="n">
        <v>10</v>
      </c>
      <c r="E10" s="8" t="s">
        <v>156</v>
      </c>
      <c r="F10" s="8" t="s">
        <v>157</v>
      </c>
      <c r="G10" s="8" t="s">
        <v>158</v>
      </c>
      <c r="H10" s="8" t="s">
        <v>156</v>
      </c>
      <c r="I10" s="7" t="s">
        <v>159</v>
      </c>
    </row>
    <row r="11" customFormat="false" ht="15" hidden="false" customHeight="true" outlineLevel="0" collapsed="false">
      <c r="A11" s="7" t="s">
        <v>160</v>
      </c>
      <c r="B11" s="7" t="s">
        <v>161</v>
      </c>
      <c r="C11" s="7" t="s">
        <v>155</v>
      </c>
      <c r="D11" s="7" t="n">
        <v>15</v>
      </c>
      <c r="E11" s="8" t="s">
        <v>162</v>
      </c>
      <c r="F11" s="8" t="s">
        <v>163</v>
      </c>
      <c r="G11" s="7"/>
      <c r="H11" s="7"/>
      <c r="I11" s="7" t="s">
        <v>164</v>
      </c>
    </row>
    <row r="14" customFormat="false" ht="18.75" hidden="false" customHeight="true" outlineLevel="0" collapsed="false">
      <c r="A14" s="9" t="s">
        <v>165</v>
      </c>
    </row>
    <row r="16" customFormat="false" ht="29.25" hidden="false" customHeight="true" outlineLevel="0" collapsed="false">
      <c r="A16" s="4" t="s">
        <v>166</v>
      </c>
      <c r="B16" s="4" t="s">
        <v>167</v>
      </c>
      <c r="C16" s="4" t="s">
        <v>168</v>
      </c>
      <c r="D16" s="4" t="s">
        <v>59</v>
      </c>
    </row>
    <row r="17" customFormat="false" ht="15" hidden="false" customHeight="true" outlineLevel="0" collapsed="false">
      <c r="A17" s="6" t="s">
        <v>169</v>
      </c>
      <c r="B17" s="5" t="s">
        <v>170</v>
      </c>
      <c r="C17" s="11" t="n">
        <v>10</v>
      </c>
      <c r="D17" s="5"/>
    </row>
    <row r="18" customFormat="false" ht="69" hidden="false" customHeight="true" outlineLevel="0" collapsed="false">
      <c r="A18" s="8" t="s">
        <v>171</v>
      </c>
      <c r="B18" s="7" t="s">
        <v>172</v>
      </c>
      <c r="C18" s="13" t="n">
        <v>20</v>
      </c>
      <c r="D18" s="8" t="s">
        <v>173</v>
      </c>
    </row>
    <row r="19" customFormat="false" ht="15" hidden="false" customHeight="true" outlineLevel="0" collapsed="false">
      <c r="A19" s="6" t="s">
        <v>174</v>
      </c>
      <c r="B19" s="5" t="s">
        <v>175</v>
      </c>
      <c r="C19" s="11" t="n">
        <v>5</v>
      </c>
      <c r="D19" s="5"/>
    </row>
    <row r="20" customFormat="false" ht="15" hidden="false" customHeight="true" outlineLevel="0" collapsed="false">
      <c r="A20" s="6" t="s">
        <v>176</v>
      </c>
      <c r="B20" s="5" t="s">
        <v>177</v>
      </c>
      <c r="C20" s="11" t="n">
        <v>20</v>
      </c>
      <c r="D20" s="5"/>
    </row>
    <row r="21" customFormat="false" ht="86.25" hidden="false" customHeight="true" outlineLevel="0" collapsed="false">
      <c r="A21" s="8" t="s">
        <v>178</v>
      </c>
      <c r="B21" s="7" t="s">
        <v>179</v>
      </c>
      <c r="C21" s="13" t="n">
        <v>30</v>
      </c>
      <c r="D21" s="7" t="s">
        <v>180</v>
      </c>
    </row>
    <row r="22" customFormat="false" ht="29.25" hidden="false" customHeight="true" outlineLevel="0" collapsed="false">
      <c r="A22" s="6" t="s">
        <v>181</v>
      </c>
      <c r="B22" s="5" t="s">
        <v>182</v>
      </c>
      <c r="C22" s="11" t="n">
        <v>15</v>
      </c>
      <c r="D22" s="5"/>
    </row>
    <row r="25" customFormat="false" ht="18.75" hidden="false" customHeight="true" outlineLevel="0" collapsed="false">
      <c r="A25" s="9" t="s">
        <v>183</v>
      </c>
    </row>
    <row r="27" customFormat="false" ht="15" hidden="false" customHeight="true" outlineLevel="0" collapsed="false">
      <c r="A27" s="4" t="s">
        <v>184</v>
      </c>
      <c r="B27" s="4" t="s">
        <v>167</v>
      </c>
      <c r="C27" s="4" t="s">
        <v>4</v>
      </c>
    </row>
    <row r="28" customFormat="false" ht="15" hidden="false" customHeight="true" outlineLevel="0" collapsed="false">
      <c r="A28" s="5" t="s">
        <v>185</v>
      </c>
      <c r="B28" s="5" t="s">
        <v>186</v>
      </c>
      <c r="C28" s="5"/>
    </row>
    <row r="29" customFormat="false" ht="57.75" hidden="false" customHeight="true" outlineLevel="0" collapsed="false">
      <c r="A29" s="5" t="s">
        <v>187</v>
      </c>
      <c r="B29" s="5" t="s">
        <v>188</v>
      </c>
      <c r="C29" s="5" t="s">
        <v>189</v>
      </c>
    </row>
    <row r="30" customFormat="false" ht="15" hidden="false" customHeight="true" outlineLevel="0" collapsed="false">
      <c r="A30" s="5" t="s">
        <v>190</v>
      </c>
      <c r="B30" s="5" t="s">
        <v>73</v>
      </c>
      <c r="C30" s="5"/>
    </row>
    <row r="31" customFormat="false" ht="57.75" hidden="false" customHeight="true" outlineLevel="0" collapsed="false">
      <c r="A31" s="5" t="s">
        <v>191</v>
      </c>
      <c r="B31" s="5" t="s">
        <v>192</v>
      </c>
      <c r="C31" s="5" t="s">
        <v>193</v>
      </c>
    </row>
    <row r="32" customFormat="false" ht="15" hidden="false" customHeight="true" outlineLevel="0" collapsed="false">
      <c r="A32" s="5" t="s">
        <v>194</v>
      </c>
      <c r="B32" s="5" t="s">
        <v>195</v>
      </c>
      <c r="C32" s="5"/>
    </row>
    <row r="35" customFormat="false" ht="15" hidden="false" customHeight="true" outlineLevel="0" collapsed="false">
      <c r="A35" s="9" t="s">
        <v>196</v>
      </c>
    </row>
    <row r="37" customFormat="false" ht="15" hidden="false" customHeight="true" outlineLevel="0" collapsed="false">
      <c r="A37" s="4" t="s">
        <v>197</v>
      </c>
      <c r="B37" s="4" t="s">
        <v>167</v>
      </c>
      <c r="C37" s="4"/>
    </row>
    <row r="38" customFormat="false" ht="15" hidden="false" customHeight="true" outlineLevel="0" collapsed="false">
      <c r="A38" s="5" t="s">
        <v>198</v>
      </c>
      <c r="B38" s="5" t="s">
        <v>199</v>
      </c>
      <c r="C38" s="5"/>
    </row>
    <row r="39" customFormat="false" ht="15" hidden="false" customHeight="true" outlineLevel="0" collapsed="false">
      <c r="A39" s="5" t="s">
        <v>200</v>
      </c>
      <c r="B39" s="5" t="s">
        <v>201</v>
      </c>
      <c r="C39" s="5"/>
    </row>
    <row r="40" customFormat="false" ht="43.5" hidden="false" customHeight="true" outlineLevel="0" collapsed="false">
      <c r="A40" s="5" t="s">
        <v>202</v>
      </c>
      <c r="B40" s="5" t="s">
        <v>203</v>
      </c>
      <c r="C40" s="5"/>
    </row>
    <row r="41" customFormat="false" ht="29.25" hidden="false" customHeight="true" outlineLevel="0" collapsed="false">
      <c r="A41" s="5" t="s">
        <v>204</v>
      </c>
      <c r="B41" s="5" t="s">
        <v>205</v>
      </c>
      <c r="C41" s="5"/>
    </row>
    <row r="42" customFormat="false" ht="29.25" hidden="false" customHeight="true" outlineLevel="0" collapsed="false">
      <c r="A42" s="5" t="s">
        <v>206</v>
      </c>
      <c r="B42" s="5" t="s">
        <v>207</v>
      </c>
      <c r="C42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8"/>
    <col collapsed="false" customWidth="true" hidden="false" outlineLevel="0" max="4" min="3" style="1" width="10"/>
    <col collapsed="false" customWidth="true" hidden="false" outlineLevel="0" max="6" min="5" style="1" width="14"/>
    <col collapsed="false" customWidth="true" hidden="false" outlineLevel="0" max="7" min="7" style="1" width="16"/>
    <col collapsed="false" customWidth="true" hidden="false" outlineLevel="0" max="9" min="8" style="1" width="14"/>
    <col collapsed="false" customWidth="true" hidden="false" outlineLevel="0" max="10" min="10" style="1" width="12"/>
    <col collapsed="false" customWidth="true" hidden="false" outlineLevel="0" max="11" min="11" style="1" width="10"/>
    <col collapsed="false" customWidth="true" hidden="false" outlineLevel="0" max="12" min="12" style="1" width="30"/>
  </cols>
  <sheetData>
    <row r="1" customFormat="false" ht="18.75" hidden="false" customHeight="true" outlineLevel="0" collapsed="false">
      <c r="A1" s="9" t="s">
        <v>208</v>
      </c>
    </row>
    <row r="3" customFormat="false" ht="15" hidden="false" customHeight="true" outlineLevel="0" collapsed="false">
      <c r="A3" s="17" t="s">
        <v>209</v>
      </c>
      <c r="B3" s="17"/>
      <c r="C3" s="17"/>
      <c r="D3" s="18" t="n">
        <v>25</v>
      </c>
      <c r="E3" s="3" t="s">
        <v>210</v>
      </c>
    </row>
    <row r="4" customFormat="false" ht="15" hidden="false" customHeight="true" outlineLevel="0" collapsed="false">
      <c r="A4" s="17" t="s">
        <v>211</v>
      </c>
      <c r="B4" s="17"/>
      <c r="C4" s="17"/>
      <c r="D4" s="18" t="n">
        <v>12</v>
      </c>
      <c r="E4" s="3"/>
    </row>
    <row r="5" customFormat="false" ht="15" hidden="false" customHeight="true" outlineLevel="0" collapsed="false">
      <c r="A5" s="17" t="s">
        <v>212</v>
      </c>
      <c r="B5" s="17"/>
      <c r="C5" s="17"/>
      <c r="D5" s="18" t="n">
        <v>18</v>
      </c>
      <c r="E5" s="3"/>
    </row>
    <row r="6" customFormat="false" ht="15" hidden="false" customHeight="true" outlineLevel="0" collapsed="false">
      <c r="A6" s="17" t="s">
        <v>213</v>
      </c>
      <c r="B6" s="17"/>
      <c r="C6" s="17"/>
      <c r="D6" s="18" t="n">
        <v>28</v>
      </c>
      <c r="E6" s="3"/>
    </row>
    <row r="7" customFormat="false" ht="15" hidden="false" customHeight="true" outlineLevel="0" collapsed="false">
      <c r="A7" s="17" t="s">
        <v>214</v>
      </c>
      <c r="B7" s="17"/>
      <c r="C7" s="17"/>
      <c r="D7" s="19" t="n">
        <v>0.3</v>
      </c>
      <c r="E7" s="3" t="s">
        <v>215</v>
      </c>
    </row>
    <row r="8" customFormat="false" ht="15" hidden="false" customHeight="true" outlineLevel="0" collapsed="false">
      <c r="A8" s="17" t="s">
        <v>216</v>
      </c>
      <c r="B8" s="17"/>
      <c r="C8" s="17"/>
      <c r="D8" s="18" t="n">
        <v>30</v>
      </c>
      <c r="E8" s="3" t="s">
        <v>217</v>
      </c>
    </row>
    <row r="9" customFormat="false" ht="15" hidden="false" customHeight="true" outlineLevel="0" collapsed="false">
      <c r="A9" s="17" t="s">
        <v>218</v>
      </c>
      <c r="B9" s="17"/>
      <c r="C9" s="17"/>
      <c r="D9" s="18" t="n">
        <v>7</v>
      </c>
      <c r="E9" s="3" t="s">
        <v>219</v>
      </c>
    </row>
    <row r="10" customFormat="false" ht="15" hidden="false" customHeight="true" outlineLevel="0" collapsed="false">
      <c r="A10" s="17" t="s">
        <v>220</v>
      </c>
      <c r="B10" s="17"/>
      <c r="C10" s="17"/>
      <c r="D10" s="18" t="n">
        <v>70</v>
      </c>
      <c r="E10" s="3"/>
    </row>
    <row r="11" customFormat="false" ht="15" hidden="false" customHeight="true" outlineLevel="0" collapsed="false">
      <c r="A11" s="17" t="s">
        <v>221</v>
      </c>
      <c r="B11" s="17"/>
      <c r="C11" s="17"/>
      <c r="D11" s="18" t="n">
        <v>20</v>
      </c>
      <c r="E11" s="3"/>
    </row>
    <row r="12" customFormat="false" ht="15" hidden="false" customHeight="false" outlineLevel="0" collapsed="false">
      <c r="A12" s="20" t="s">
        <v>222</v>
      </c>
      <c r="B12" s="20"/>
      <c r="C12" s="20"/>
      <c r="D12" s="21" t="n">
        <v>0.15</v>
      </c>
      <c r="E12" s="22" t="s">
        <v>223</v>
      </c>
    </row>
    <row r="13" customFormat="false" ht="15" hidden="false" customHeight="true" outlineLevel="0" collapsed="false">
      <c r="A13" s="4" t="s">
        <v>224</v>
      </c>
      <c r="B13" s="4" t="s">
        <v>225</v>
      </c>
      <c r="C13" s="4" t="s">
        <v>226</v>
      </c>
      <c r="D13" s="4" t="s">
        <v>227</v>
      </c>
      <c r="E13" s="4" t="s">
        <v>228</v>
      </c>
      <c r="F13" s="4" t="s">
        <v>229</v>
      </c>
      <c r="G13" s="4" t="s">
        <v>230</v>
      </c>
      <c r="H13" s="4" t="s">
        <v>231</v>
      </c>
      <c r="I13" s="4" t="s">
        <v>232</v>
      </c>
      <c r="J13" s="4" t="s">
        <v>233</v>
      </c>
      <c r="K13" s="4" t="s">
        <v>234</v>
      </c>
      <c r="L13" s="4" t="s">
        <v>235</v>
      </c>
    </row>
    <row r="14" customFormat="false" ht="15" hidden="false" customHeight="true" outlineLevel="0" collapsed="false">
      <c r="A14" s="23" t="n">
        <v>1</v>
      </c>
      <c r="B14" s="23" t="n">
        <v>1</v>
      </c>
      <c r="C14" s="24" t="s">
        <v>236</v>
      </c>
      <c r="D14" s="23" t="n">
        <f aca="false">IF(C14="일반",D4,IF(C14="정예",D5,D6))</f>
        <v>12</v>
      </c>
      <c r="E14" s="25" t="n">
        <f aca="false">D3</f>
        <v>25</v>
      </c>
      <c r="F14" s="25" t="n">
        <f aca="false">E14+D14</f>
        <v>37</v>
      </c>
      <c r="G14" s="26" t="s">
        <v>237</v>
      </c>
      <c r="H14" s="25" t="n">
        <f aca="false">IF(G14="파밍",$D$7*$D$4,IF(G14="휴식",-$D$8+$D$12*$D$4,0))</f>
        <v>3.6</v>
      </c>
      <c r="I14" s="25" t="n">
        <f aca="false">MAX(D3,F14+H14)</f>
        <v>40.6</v>
      </c>
      <c r="J14" s="23" t="n">
        <f aca="false">IF(I14&gt;D10,1,0)</f>
        <v>0</v>
      </c>
      <c r="K14" s="25" t="n">
        <f aca="false">MAX(D3,I14-J14*D11)</f>
        <v>40.6</v>
      </c>
      <c r="L14" s="27" t="str">
        <f aca="false">IF(F14&gt;=100,"과부화 사망!",IF(F14&gt;=75,"3 멜트다운",IF(F14&gt;=50,"2 과열",IF(F14&gt;=25,"1 최적","0 노멀"))))</f>
        <v>1 최적</v>
      </c>
    </row>
    <row r="15" customFormat="false" ht="15" hidden="false" customHeight="true" outlineLevel="0" collapsed="false">
      <c r="A15" s="23" t="n">
        <v>2</v>
      </c>
      <c r="B15" s="23" t="n">
        <v>2</v>
      </c>
      <c r="C15" s="24" t="s">
        <v>236</v>
      </c>
      <c r="D15" s="23" t="n">
        <f aca="false">IF(C15="일반",D4,IF(C15="정예",D5,D6))</f>
        <v>12</v>
      </c>
      <c r="E15" s="25" t="n">
        <f aca="false">K14</f>
        <v>40.6</v>
      </c>
      <c r="F15" s="25" t="n">
        <f aca="false">E15+D15</f>
        <v>52.6</v>
      </c>
      <c r="G15" s="26" t="s">
        <v>237</v>
      </c>
      <c r="H15" s="25" t="n">
        <f aca="false">IF(G15="파밍",$D$7*$D$4,IF(G15="휴식",-$D$8+$D$12*$D$4,0))</f>
        <v>3.6</v>
      </c>
      <c r="I15" s="25" t="n">
        <f aca="false">MAX(D3,F15+H15)</f>
        <v>56.2</v>
      </c>
      <c r="J15" s="23" t="n">
        <f aca="false">IF(I15&gt;D10,1,0)</f>
        <v>0</v>
      </c>
      <c r="K15" s="25" t="n">
        <f aca="false">MAX(D3,I15-J15*D11)</f>
        <v>56.2</v>
      </c>
      <c r="L15" s="27" t="str">
        <f aca="false">IF(F15&gt;=100,"과부화 사망!",IF(F15&gt;=75,"3 멜트다운",IF(F15&gt;=50,"2 과열",IF(F15&gt;=25,"1 최적","0 노멀"))))</f>
        <v>2 과열</v>
      </c>
    </row>
    <row r="16" customFormat="false" ht="15" hidden="false" customHeight="true" outlineLevel="0" collapsed="false">
      <c r="A16" s="23" t="n">
        <v>2</v>
      </c>
      <c r="B16" s="23" t="n">
        <v>3</v>
      </c>
      <c r="C16" s="24" t="s">
        <v>236</v>
      </c>
      <c r="D16" s="23" t="n">
        <f aca="false">IF(C16="일반",D4,IF(C16="정예",D5,D6))</f>
        <v>12</v>
      </c>
      <c r="E16" s="25" t="n">
        <f aca="false">K15</f>
        <v>56.2</v>
      </c>
      <c r="F16" s="25" t="n">
        <f aca="false">E16+D16</f>
        <v>68.2</v>
      </c>
      <c r="G16" s="26" t="s">
        <v>237</v>
      </c>
      <c r="H16" s="25" t="n">
        <f aca="false">IF(G16="파밍",$D$7*$D$4,IF(G16="휴식",-$D$8+$D$12*$D$4,0))</f>
        <v>3.6</v>
      </c>
      <c r="I16" s="25" t="n">
        <f aca="false">MAX(D3,F16+H16)</f>
        <v>71.8</v>
      </c>
      <c r="J16" s="23" t="n">
        <f aca="false">IF(I16&gt;D10,1,0)</f>
        <v>1</v>
      </c>
      <c r="K16" s="25" t="n">
        <f aca="false">MAX(D3,I16-J16*D11)</f>
        <v>51.8</v>
      </c>
      <c r="L16" s="27" t="str">
        <f aca="false">IF(F16&gt;=100,"과부화 사망!",IF(F16&gt;=75,"3 멜트다운",IF(F16&gt;=50,"2 과열",IF(F16&gt;=25,"1 최적","0 노멀"))))</f>
        <v>2 과열</v>
      </c>
    </row>
    <row r="17" customFormat="false" ht="15" hidden="false" customHeight="true" outlineLevel="0" collapsed="false">
      <c r="A17" s="23" t="n">
        <v>3</v>
      </c>
      <c r="B17" s="23" t="n">
        <v>4</v>
      </c>
      <c r="C17" s="24" t="s">
        <v>236</v>
      </c>
      <c r="D17" s="23" t="n">
        <f aca="false">IF(C17="일반",D4,IF(C17="정예",D5,D6))</f>
        <v>12</v>
      </c>
      <c r="E17" s="25" t="n">
        <f aca="false">K16</f>
        <v>51.8</v>
      </c>
      <c r="F17" s="25" t="n">
        <f aca="false">E17+D17</f>
        <v>63.8</v>
      </c>
      <c r="G17" s="26" t="s">
        <v>238</v>
      </c>
      <c r="H17" s="25" t="n">
        <f aca="false">IF(G17="파밍",$D$7*$D$4,IF(G17="휴식",-$D$8+$D$12*$D$4,0))</f>
        <v>-28.2</v>
      </c>
      <c r="I17" s="25" t="n">
        <f aca="false">MAX(D3,F17+H17)</f>
        <v>35.6</v>
      </c>
      <c r="J17" s="23" t="n">
        <f aca="false">IF(I17&gt;D10,1,0)</f>
        <v>0</v>
      </c>
      <c r="K17" s="25" t="n">
        <f aca="false">MAX(D3,I17-J17*D11)</f>
        <v>35.6</v>
      </c>
      <c r="L17" s="27" t="str">
        <f aca="false">IF(F17&gt;=100,"과부화 사망!",IF(F17&gt;=75,"3 멜트다운",IF(F17&gt;=50,"2 과열",IF(F17&gt;=25,"1 최적","0 노멀"))))</f>
        <v>2 과열</v>
      </c>
    </row>
    <row r="18" customFormat="false" ht="15" hidden="false" customHeight="true" outlineLevel="0" collapsed="false">
      <c r="A18" s="23" t="n">
        <v>4</v>
      </c>
      <c r="B18" s="23" t="n">
        <v>5</v>
      </c>
      <c r="C18" s="24" t="s">
        <v>236</v>
      </c>
      <c r="D18" s="23" t="n">
        <f aca="false">IF(C18="일반",D4,IF(C18="정예",D5,D6))</f>
        <v>12</v>
      </c>
      <c r="E18" s="25" t="n">
        <f aca="false">K17</f>
        <v>35.6</v>
      </c>
      <c r="F18" s="25" t="n">
        <f aca="false">E18+D18</f>
        <v>47.6</v>
      </c>
      <c r="G18" s="26" t="s">
        <v>237</v>
      </c>
      <c r="H18" s="25" t="n">
        <f aca="false">IF(G18="파밍",$D$7*$D$4,IF(G18="휴식",-$D$8+$D$12*$D$4,0))</f>
        <v>3.6</v>
      </c>
      <c r="I18" s="25" t="n">
        <f aca="false">MAX(D3,F18+H18)</f>
        <v>51.2</v>
      </c>
      <c r="J18" s="23" t="n">
        <f aca="false">IF(I18&gt;D10,1,0)</f>
        <v>0</v>
      </c>
      <c r="K18" s="25" t="n">
        <f aca="false">MAX(D3,I18-J18*D11)</f>
        <v>51.2</v>
      </c>
      <c r="L18" s="27" t="str">
        <f aca="false">IF(F18&gt;=100,"과부화 사망!",IF(F18&gt;=75,"3 멜트다운",IF(F18&gt;=50,"2 과열",IF(F18&gt;=25,"1 최적","0 노멀"))))</f>
        <v>1 최적</v>
      </c>
    </row>
    <row r="19" customFormat="false" ht="15" hidden="false" customHeight="true" outlineLevel="0" collapsed="false">
      <c r="A19" s="23" t="n">
        <v>5</v>
      </c>
      <c r="B19" s="23" t="n">
        <v>6</v>
      </c>
      <c r="C19" s="24" t="s">
        <v>239</v>
      </c>
      <c r="D19" s="23" t="n">
        <f aca="false">IF(C19="일반",D4,IF(C19="정예",D5,D6))</f>
        <v>18</v>
      </c>
      <c r="E19" s="25" t="n">
        <f aca="false">K18</f>
        <v>51.2</v>
      </c>
      <c r="F19" s="25" t="n">
        <f aca="false">E19+D19</f>
        <v>69.2</v>
      </c>
      <c r="G19" s="26" t="s">
        <v>238</v>
      </c>
      <c r="H19" s="25" t="n">
        <f aca="false">IF(G19="파밍",$D$7*$D$4,IF(G19="휴식",-$D$8+$D$12*$D$4,0))</f>
        <v>-28.2</v>
      </c>
      <c r="I19" s="25" t="n">
        <f aca="false">MAX(D3,F19+H19)</f>
        <v>41</v>
      </c>
      <c r="J19" s="23" t="n">
        <f aca="false">IF(I19&gt;D10,1,0)</f>
        <v>0</v>
      </c>
      <c r="K19" s="25" t="n">
        <f aca="false">MAX(D3,I19-J19*D11)</f>
        <v>41</v>
      </c>
      <c r="L19" s="27" t="str">
        <f aca="false">IF(F19&gt;=100,"과부화 사망!",IF(F19&gt;=75,"3 멜트다운",IF(F19&gt;=50,"2 과열",IF(F19&gt;=25,"1 최적","0 노멀"))))</f>
        <v>2 과열</v>
      </c>
    </row>
    <row r="20" customFormat="false" ht="15" hidden="false" customHeight="true" outlineLevel="0" collapsed="false">
      <c r="A20" s="23" t="n">
        <v>6</v>
      </c>
      <c r="B20" s="23" t="n">
        <v>7</v>
      </c>
      <c r="C20" s="24" t="s">
        <v>236</v>
      </c>
      <c r="D20" s="23" t="n">
        <f aca="false">IF(C20="일반",D4,IF(C20="정예",D5,D6))</f>
        <v>12</v>
      </c>
      <c r="E20" s="25" t="n">
        <f aca="false">K19</f>
        <v>41</v>
      </c>
      <c r="F20" s="25" t="n">
        <f aca="false">E20+D20</f>
        <v>53</v>
      </c>
      <c r="G20" s="26" t="s">
        <v>237</v>
      </c>
      <c r="H20" s="25" t="n">
        <f aca="false">IF(G20="파밍",$D$7*$D$4,IF(G20="휴식",-$D$8+$D$12*$D$4,0))</f>
        <v>3.6</v>
      </c>
      <c r="I20" s="25" t="n">
        <f aca="false">MAX(D3,F20+H20)</f>
        <v>56.6</v>
      </c>
      <c r="J20" s="23" t="n">
        <f aca="false">IF(I20&gt;D10,1,0)</f>
        <v>0</v>
      </c>
      <c r="K20" s="25" t="n">
        <f aca="false">MAX(D3,I20-J20*D11)</f>
        <v>56.6</v>
      </c>
      <c r="L20" s="27" t="str">
        <f aca="false">IF(F20&gt;=100,"과부화 사망!",IF(F20&gt;=75,"3 멜트다운",IF(F20&gt;=50,"2 과열",IF(F20&gt;=25,"1 최적","0 노멀"))))</f>
        <v>2 과열</v>
      </c>
    </row>
    <row r="21" customFormat="false" ht="15" hidden="false" customHeight="true" outlineLevel="0" collapsed="false">
      <c r="A21" s="23" t="n">
        <v>6</v>
      </c>
      <c r="B21" s="23" t="n">
        <v>8</v>
      </c>
      <c r="C21" s="24" t="s">
        <v>236</v>
      </c>
      <c r="D21" s="23" t="n">
        <f aca="false">IF(C21="일반",D4,IF(C21="정예",D5,D6))</f>
        <v>12</v>
      </c>
      <c r="E21" s="25" t="n">
        <f aca="false">K20</f>
        <v>56.6</v>
      </c>
      <c r="F21" s="25" t="n">
        <f aca="false">E21+D21</f>
        <v>68.6</v>
      </c>
      <c r="G21" s="26" t="s">
        <v>237</v>
      </c>
      <c r="H21" s="25" t="n">
        <f aca="false">IF(G21="파밍",$D$7*$D$4,IF(G21="휴식",-$D$8+$D$12*$D$4,0))</f>
        <v>3.6</v>
      </c>
      <c r="I21" s="25" t="n">
        <f aca="false">MAX(D3,F21+H21)</f>
        <v>72.2</v>
      </c>
      <c r="J21" s="23" t="n">
        <f aca="false">IF(I21&gt;D10,1,0)</f>
        <v>1</v>
      </c>
      <c r="K21" s="25" t="n">
        <f aca="false">MAX(D3,I21-J21*D11)</f>
        <v>52.2</v>
      </c>
      <c r="L21" s="27" t="str">
        <f aca="false">IF(F21&gt;=100,"과부화 사망!",IF(F21&gt;=75,"3 멜트다운",IF(F21&gt;=50,"2 과열",IF(F21&gt;=25,"1 최적","0 노멀"))))</f>
        <v>2 과열</v>
      </c>
    </row>
    <row r="22" customFormat="false" ht="15" hidden="false" customHeight="true" outlineLevel="0" collapsed="false">
      <c r="A22" s="23" t="n">
        <v>7</v>
      </c>
      <c r="B22" s="23" t="n">
        <v>9</v>
      </c>
      <c r="C22" s="24" t="s">
        <v>236</v>
      </c>
      <c r="D22" s="23" t="n">
        <f aca="false">IF(C22="일반",D4,IF(C22="정예",D5,D6))</f>
        <v>12</v>
      </c>
      <c r="E22" s="25" t="n">
        <f aca="false">K21</f>
        <v>52.2</v>
      </c>
      <c r="F22" s="25" t="n">
        <f aca="false">E22+D22</f>
        <v>64.2</v>
      </c>
      <c r="G22" s="26" t="s">
        <v>238</v>
      </c>
      <c r="H22" s="25" t="n">
        <f aca="false">IF(G22="파밍",$D$7*$D$4,IF(G22="휴식",-$D$8+$D$12*$D$4,0))</f>
        <v>-28.2</v>
      </c>
      <c r="I22" s="25" t="n">
        <f aca="false">MAX(D3,F22+H22)</f>
        <v>36</v>
      </c>
      <c r="J22" s="23" t="n">
        <f aca="false">IF(I22&gt;D10,1,0)</f>
        <v>0</v>
      </c>
      <c r="K22" s="25" t="n">
        <f aca="false">MAX(D3,I22-J22*D11)</f>
        <v>36</v>
      </c>
      <c r="L22" s="27" t="str">
        <f aca="false">IF(F22&gt;=100,"과부화 사망!",IF(F22&gt;=75,"3 멜트다운",IF(F22&gt;=50,"2 과열",IF(F22&gt;=25,"1 최적","0 노멀"))))</f>
        <v>2 과열</v>
      </c>
    </row>
    <row r="23" customFormat="false" ht="15" hidden="false" customHeight="true" outlineLevel="0" collapsed="false">
      <c r="A23" s="23" t="n">
        <v>7</v>
      </c>
      <c r="B23" s="23" t="n">
        <v>10</v>
      </c>
      <c r="C23" s="24" t="s">
        <v>239</v>
      </c>
      <c r="D23" s="23" t="n">
        <f aca="false">IF(C23="일반",D4,IF(C23="정예",D5,D6))</f>
        <v>18</v>
      </c>
      <c r="E23" s="25" t="n">
        <f aca="false">K22</f>
        <v>36</v>
      </c>
      <c r="F23" s="25" t="n">
        <f aca="false">E23+D23</f>
        <v>54</v>
      </c>
      <c r="G23" s="26" t="s">
        <v>240</v>
      </c>
      <c r="H23" s="25" t="n">
        <f aca="false">IF(G23="파밍",$D$7*$D$4,IF(G23="휴식",-$D$8+$D$12*$D$4,0))</f>
        <v>0</v>
      </c>
      <c r="I23" s="25" t="n">
        <f aca="false">MAX(D3,F23+H23)</f>
        <v>54</v>
      </c>
      <c r="J23" s="23" t="n">
        <f aca="false">IF(I23&gt;D10,1,0)</f>
        <v>0</v>
      </c>
      <c r="K23" s="25" t="n">
        <f aca="false">MAX(D3,I23-J23*D11)</f>
        <v>54</v>
      </c>
      <c r="L23" s="27" t="str">
        <f aca="false">IF(F23&gt;=100,"과부화 사망!",IF(F23&gt;=75,"3 멜트다운",IF(F23&gt;=50,"2 과열",IF(F23&gt;=25,"1 최적","0 노멀"))))</f>
        <v>2 과열</v>
      </c>
    </row>
    <row r="24" customFormat="false" ht="15" hidden="false" customHeight="true" outlineLevel="0" collapsed="false">
      <c r="A24" s="23" t="n">
        <v>8</v>
      </c>
      <c r="B24" s="23" t="n">
        <v>11</v>
      </c>
      <c r="C24" s="24" t="s">
        <v>236</v>
      </c>
      <c r="D24" s="23" t="n">
        <f aca="false">IF(C24="일반",D4,IF(C24="정예",D5,D6))</f>
        <v>12</v>
      </c>
      <c r="E24" s="25" t="n">
        <f aca="false">K23</f>
        <v>54</v>
      </c>
      <c r="F24" s="25" t="n">
        <f aca="false">E24+D24</f>
        <v>66</v>
      </c>
      <c r="G24" s="26" t="s">
        <v>238</v>
      </c>
      <c r="H24" s="25" t="n">
        <f aca="false">IF(G24="파밍",$D$7*$D$4,IF(G24="휴식",-$D$8+$D$12*$D$4,0))</f>
        <v>-28.2</v>
      </c>
      <c r="I24" s="25" t="n">
        <f aca="false">MAX(D3,F24+H24)</f>
        <v>37.8</v>
      </c>
      <c r="J24" s="23" t="n">
        <f aca="false">IF(I24&gt;D10,1,0)</f>
        <v>0</v>
      </c>
      <c r="K24" s="25" t="n">
        <f aca="false">MAX(D3,I24-J24*D11)</f>
        <v>37.8</v>
      </c>
      <c r="L24" s="27" t="str">
        <f aca="false">IF(F24&gt;=100,"과부화 사망!",IF(F24&gt;=75,"3 멜트다운",IF(F24&gt;=50,"2 과열",IF(F24&gt;=25,"1 최적","0 노멀"))))</f>
        <v>2 과열</v>
      </c>
    </row>
    <row r="25" customFormat="false" ht="15" hidden="false" customHeight="true" outlineLevel="0" collapsed="false">
      <c r="A25" s="23" t="n">
        <v>9</v>
      </c>
      <c r="B25" s="23" t="n">
        <v>12</v>
      </c>
      <c r="C25" s="24" t="s">
        <v>239</v>
      </c>
      <c r="D25" s="23" t="n">
        <f aca="false">IF(C25="일반",D4,IF(C25="정예",D5,D6))</f>
        <v>18</v>
      </c>
      <c r="E25" s="25" t="n">
        <f aca="false">K24</f>
        <v>37.8</v>
      </c>
      <c r="F25" s="25" t="n">
        <f aca="false">E25+D25</f>
        <v>55.8</v>
      </c>
      <c r="G25" s="26" t="s">
        <v>240</v>
      </c>
      <c r="H25" s="25" t="n">
        <f aca="false">IF(G25="파밍",$D$7*$D$4,IF(G25="휴식",-$D$8+$D$12*$D$4,0))</f>
        <v>0</v>
      </c>
      <c r="I25" s="25" t="n">
        <f aca="false">MAX(D3,F25+H25)</f>
        <v>55.8</v>
      </c>
      <c r="J25" s="23" t="n">
        <f aca="false">IF(I25&gt;D10,1,0)</f>
        <v>0</v>
      </c>
      <c r="K25" s="25" t="n">
        <f aca="false">MAX(D3,I25-J25*D11)</f>
        <v>55.8</v>
      </c>
      <c r="L25" s="27" t="str">
        <f aca="false">IF(F25&gt;=100,"과부화 사망!",IF(F25&gt;=75,"3 멜트다운",IF(F25&gt;=50,"2 과열",IF(F25&gt;=25,"1 최적","0 노멀"))))</f>
        <v>2 과열</v>
      </c>
    </row>
    <row r="26" customFormat="false" ht="15" hidden="false" customHeight="true" outlineLevel="0" collapsed="false">
      <c r="A26" s="23" t="n">
        <v>10</v>
      </c>
      <c r="B26" s="23" t="n">
        <v>13</v>
      </c>
      <c r="C26" s="24" t="s">
        <v>241</v>
      </c>
      <c r="D26" s="23" t="n">
        <f aca="false">IF(C26="일반",D4,IF(C26="정예",D5,D6))</f>
        <v>28</v>
      </c>
      <c r="E26" s="25" t="n">
        <f aca="false">K25</f>
        <v>55.8</v>
      </c>
      <c r="F26" s="25" t="n">
        <f aca="false">E26+D26</f>
        <v>83.8</v>
      </c>
      <c r="G26" s="26" t="s">
        <v>240</v>
      </c>
      <c r="H26" s="25" t="n">
        <f aca="false">IF(G26="파밍",$D$7*$D$4,IF(G26="휴식",-$D$8+$D$12*$D$4,0))</f>
        <v>0</v>
      </c>
      <c r="I26" s="25" t="n">
        <f aca="false">MAX(D3,F26+H26)</f>
        <v>83.8</v>
      </c>
      <c r="J26" s="23" t="n">
        <f aca="false">IF(I26&gt;D10,1,0)</f>
        <v>1</v>
      </c>
      <c r="K26" s="25" t="n">
        <f aca="false">MAX(D3,I26-J26*D11)</f>
        <v>63.8</v>
      </c>
      <c r="L26" s="27" t="str">
        <f aca="false">IF(F26&gt;=100,"과부화 사망!",IF(F26&gt;=75,"3 멜트다운",IF(F26&gt;=50,"2 과열",IF(F26&gt;=25,"1 최적","0 노멀"))))</f>
        <v>3 멜트다운</v>
      </c>
    </row>
    <row r="28" customFormat="false" ht="15" hidden="false" customHeight="true" outlineLevel="0" collapsed="false">
      <c r="A28" s="28" t="s">
        <v>242</v>
      </c>
    </row>
    <row r="29" customFormat="false" ht="15" hidden="false" customHeight="true" outlineLevel="0" collapsed="false">
      <c r="A29" s="17" t="s">
        <v>243</v>
      </c>
      <c r="B29" s="17"/>
      <c r="C29" s="17"/>
      <c r="D29" s="17"/>
      <c r="E29" s="29" t="n">
        <f aca="false">SUM(J14:J26)</f>
        <v>3</v>
      </c>
    </row>
    <row r="30" customFormat="false" ht="15" hidden="false" customHeight="true" outlineLevel="0" collapsed="false">
      <c r="A30" s="17" t="s">
        <v>244</v>
      </c>
      <c r="B30" s="17"/>
      <c r="C30" s="17"/>
      <c r="D30" s="17"/>
      <c r="E30" s="30" t="n">
        <f aca="false">MAX(F14:F26)</f>
        <v>83.8</v>
      </c>
    </row>
    <row r="31" customFormat="false" ht="15" hidden="false" customHeight="true" outlineLevel="0" collapsed="false">
      <c r="A31" s="17" t="s">
        <v>245</v>
      </c>
      <c r="B31" s="17"/>
      <c r="C31" s="17"/>
      <c r="D31" s="17"/>
      <c r="E31" s="29" t="n">
        <f aca="false">COUNTIF(L14:L26,"3 멜트다운")+COUNTIF(L14:L26,"과부화 사망!")</f>
        <v>1</v>
      </c>
    </row>
    <row r="32" customFormat="false" ht="15" hidden="false" customHeight="true" outlineLevel="0" collapsed="false">
      <c r="A32" s="17" t="s">
        <v>246</v>
      </c>
      <c r="B32" s="17"/>
      <c r="C32" s="17"/>
      <c r="D32" s="17"/>
      <c r="E32" s="29" t="n">
        <f aca="false">COUNTA(L14:L26)-COUNTIF(L14:L26,"0 노멀")</f>
        <v>13</v>
      </c>
    </row>
    <row r="33" customFormat="false" ht="15" hidden="false" customHeight="true" outlineLevel="0" collapsed="false">
      <c r="A33" s="17" t="s">
        <v>247</v>
      </c>
      <c r="B33" s="17"/>
      <c r="C33" s="17"/>
      <c r="D33" s="17"/>
      <c r="E33" s="31" t="str">
        <f aca="false">COUNTIF(G14:G26,"휴식")&amp;"회 (+"&amp;COUNTIF(G14:G26,"휴식")*D9&amp;" HP)"</f>
        <v>4회 (+28 HP)</v>
      </c>
    </row>
    <row r="34" customFormat="false" ht="15" hidden="false" customHeight="true" outlineLevel="0" collapsed="false">
      <c r="A34" s="17" t="s">
        <v>248</v>
      </c>
      <c r="B34" s="17"/>
      <c r="C34" s="17"/>
      <c r="D34" s="17"/>
      <c r="E34" s="31" t="str">
        <f aca="false">COUNTIF(G14:G26,"파밍")&amp;"회 (놓침 "&amp;(COUNTA(G14:G26)-COUNTIF(G14:G26,"파밍"))&amp;"회)"</f>
        <v>6회 (놓침 7회)</v>
      </c>
    </row>
    <row r="35" customFormat="false" ht="15" hidden="false" customHeight="true" outlineLevel="0" collapsed="false">
      <c r="A35" s="17" t="s">
        <v>249</v>
      </c>
      <c r="B35" s="17"/>
      <c r="C35" s="17"/>
      <c r="D35" s="17"/>
      <c r="E35" s="31" t="str">
        <f aca="false">IF(COUNTIF(L14:L26,"과부화 사망!")&gt;0,"사망","생존")</f>
        <v>생존</v>
      </c>
    </row>
    <row r="37" customFormat="false" ht="15" hidden="false" customHeight="true" outlineLevel="0" collapsed="false">
      <c r="A37" s="3" t="s">
        <v>250</v>
      </c>
    </row>
    <row r="38" customFormat="false" ht="15" hidden="false" customHeight="true" outlineLevel="0" collapsed="false">
      <c r="A38" s="3" t="s">
        <v>251</v>
      </c>
    </row>
    <row r="39" customFormat="false" ht="15" hidden="false" customHeight="true" outlineLevel="0" collapsed="false">
      <c r="A39" s="32" t="s">
        <v>252</v>
      </c>
    </row>
    <row r="40" customFormat="false" ht="15" hidden="false" customHeight="true" outlineLevel="0" collapsed="false">
      <c r="A40" s="3" t="s">
        <v>253</v>
      </c>
    </row>
  </sheetData>
  <mergeCells count="17"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29:D29"/>
    <mergeCell ref="A30:D30"/>
    <mergeCell ref="A31:D31"/>
    <mergeCell ref="A32:D32"/>
    <mergeCell ref="A33:D33"/>
    <mergeCell ref="A34:D34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2026-08-04T12:37:31Z</dcterms:created>
  <dc:creator>openpyxl</dc:creator>
  <dc:description/>
  <dc:language>en-US</dc:language>
  <cp:lastModifiedBy/>
  <dcterms:modified xsi:type="dcterms:W3CDTF">2026-08-04T13:29:43Z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